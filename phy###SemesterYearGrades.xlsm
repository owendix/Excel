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322" codeName="{00000000-0000-0000-0000-000000000000}"/>
  <workbookPr showInkAnnotation="0" codeName="ThisWorkbook" hidePivotFieldList="1" checkCompatibility="1" autoCompressPictures="0"/>
  <bookViews>
    <workbookView xWindow="0" yWindow="0" windowWidth="25600" windowHeight="16060" tabRatio="1000"/>
  </bookViews>
  <sheets>
    <sheet name="Grade" sheetId="3" r:id="rId1"/>
    <sheet name="GradeScale" sheetId="16" r:id="rId2"/>
    <sheet name="RdmNumbersCopy" sheetId="17" r:id="rId3"/>
    <sheet name="GlowscriptPublicFolderLinks" sheetId="18" r:id="rId4"/>
  </sheets>
  <definedNames>
    <definedName name="gradeBins">GradeScale!$B$2:$C$7</definedName>
    <definedName name="_xlnm.Print_Titles" localSheetId="0">Grade!$D:$D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Y28" i="3" l="1"/>
  <c r="X28" i="3"/>
  <c r="W28" i="3"/>
  <c r="AJ11" i="3"/>
  <c r="E11" i="3"/>
  <c r="AJ26" i="3"/>
  <c r="AK11" i="3"/>
  <c r="AL11" i="3"/>
  <c r="AJ14" i="3"/>
  <c r="E14" i="3"/>
  <c r="AK14" i="3"/>
  <c r="AL14" i="3"/>
  <c r="AJ24" i="3"/>
  <c r="E24" i="3"/>
  <c r="AK24" i="3"/>
  <c r="AL24" i="3"/>
  <c r="AJ6" i="3"/>
  <c r="E6" i="3"/>
  <c r="AK6" i="3"/>
  <c r="AL6" i="3"/>
  <c r="AJ21" i="3"/>
  <c r="E21" i="3"/>
  <c r="AK21" i="3"/>
  <c r="AL21" i="3"/>
  <c r="AJ12" i="3"/>
  <c r="E12" i="3"/>
  <c r="AK12" i="3"/>
  <c r="AL12" i="3"/>
  <c r="AJ20" i="3"/>
  <c r="E20" i="3"/>
  <c r="AK20" i="3"/>
  <c r="AL20" i="3"/>
  <c r="AJ7" i="3"/>
  <c r="E7" i="3"/>
  <c r="AK7" i="3"/>
  <c r="AL7" i="3"/>
  <c r="AJ10" i="3"/>
  <c r="E10" i="3"/>
  <c r="AK10" i="3"/>
  <c r="AL10" i="3"/>
  <c r="AJ8" i="3"/>
  <c r="E8" i="3"/>
  <c r="AK8" i="3"/>
  <c r="AL8" i="3"/>
  <c r="AJ3" i="3"/>
  <c r="E3" i="3"/>
  <c r="AK3" i="3"/>
  <c r="AL3" i="3"/>
  <c r="AJ13" i="3"/>
  <c r="E13" i="3"/>
  <c r="AK13" i="3"/>
  <c r="AL13" i="3"/>
  <c r="AJ9" i="3"/>
  <c r="E9" i="3"/>
  <c r="AK9" i="3"/>
  <c r="AL9" i="3"/>
  <c r="AJ4" i="3"/>
  <c r="E4" i="3"/>
  <c r="AK4" i="3"/>
  <c r="AL4" i="3"/>
  <c r="AJ16" i="3"/>
  <c r="E16" i="3"/>
  <c r="AK16" i="3"/>
  <c r="AL16" i="3"/>
  <c r="AJ22" i="3"/>
  <c r="E22" i="3"/>
  <c r="AK22" i="3"/>
  <c r="AL22" i="3"/>
  <c r="AJ19" i="3"/>
  <c r="E19" i="3"/>
  <c r="AK19" i="3"/>
  <c r="AL19" i="3"/>
  <c r="AJ5" i="3"/>
  <c r="E5" i="3"/>
  <c r="AK5" i="3"/>
  <c r="AL5" i="3"/>
  <c r="AJ2" i="3"/>
  <c r="E2" i="3"/>
  <c r="AK2" i="3"/>
  <c r="AL2" i="3"/>
  <c r="AJ23" i="3"/>
  <c r="E23" i="3"/>
  <c r="AK23" i="3"/>
  <c r="AL23" i="3"/>
  <c r="AJ18" i="3"/>
  <c r="E18" i="3"/>
  <c r="AK18" i="3"/>
  <c r="AL18" i="3"/>
  <c r="AJ15" i="3"/>
  <c r="E15" i="3"/>
  <c r="AK15" i="3"/>
  <c r="AL15" i="3"/>
  <c r="AJ17" i="3"/>
  <c r="E17" i="3"/>
  <c r="AK17" i="3"/>
  <c r="AL17" i="3"/>
  <c r="F11" i="16"/>
  <c r="F12" i="16"/>
  <c r="AF28" i="3"/>
  <c r="AF29" i="3"/>
  <c r="AF30" i="3"/>
  <c r="AF31" i="3" a="1"/>
  <c r="AF31" i="3"/>
  <c r="U28" i="3"/>
  <c r="V28" i="3"/>
  <c r="U29" i="3"/>
  <c r="V29" i="3"/>
  <c r="U30" i="3"/>
  <c r="V30" i="3"/>
  <c r="U31" i="3" a="1"/>
  <c r="U31" i="3"/>
  <c r="V31" i="3" a="1"/>
  <c r="V31" i="3"/>
  <c r="Z30" i="3"/>
  <c r="Z31" i="3" a="1"/>
  <c r="Z31" i="3"/>
  <c r="AB30" i="3"/>
  <c r="AB31" i="3" a="1"/>
  <c r="AB31" i="3"/>
  <c r="AB29" i="3"/>
  <c r="AB28" i="3"/>
  <c r="AI28" i="3"/>
  <c r="AI29" i="3"/>
  <c r="AI30" i="3"/>
  <c r="AI31" i="3" a="1"/>
  <c r="AI31" i="3"/>
  <c r="P28" i="3"/>
  <c r="Q28" i="3"/>
  <c r="P29" i="3"/>
  <c r="Q29" i="3"/>
  <c r="P30" i="3"/>
  <c r="Q30" i="3"/>
  <c r="P31" i="3" a="1"/>
  <c r="P31" i="3"/>
  <c r="Q31" i="3" a="1"/>
  <c r="Q31" i="3"/>
  <c r="B7" i="16"/>
  <c r="AD28" i="3"/>
  <c r="AE28" i="3"/>
  <c r="AG28" i="3"/>
  <c r="J28" i="3"/>
  <c r="AH28" i="3"/>
  <c r="AD29" i="3"/>
  <c r="AE29" i="3"/>
  <c r="AG29" i="3"/>
  <c r="J29" i="3"/>
  <c r="AH29" i="3"/>
  <c r="AD30" i="3"/>
  <c r="AE30" i="3"/>
  <c r="AG30" i="3"/>
  <c r="J30" i="3"/>
  <c r="AH30" i="3"/>
  <c r="AD31" i="3" a="1"/>
  <c r="AD31" i="3"/>
  <c r="AE31" i="3" a="1"/>
  <c r="AE31" i="3"/>
  <c r="AG31" i="3" a="1"/>
  <c r="AG31" i="3"/>
  <c r="J31" i="3" a="1"/>
  <c r="J31" i="3"/>
  <c r="AH31" i="3" a="1"/>
  <c r="AH31" i="3"/>
  <c r="AJ30" i="3"/>
  <c r="AK28" i="3"/>
  <c r="C12" i="16"/>
  <c r="D12" i="16"/>
  <c r="C11" i="16"/>
  <c r="D11" i="16"/>
  <c r="A14" i="16"/>
  <c r="B6" i="16"/>
  <c r="B5" i="16"/>
  <c r="B4" i="16"/>
  <c r="D2" i="16"/>
  <c r="D3" i="16"/>
  <c r="D4" i="16"/>
  <c r="D5" i="16"/>
  <c r="D6" i="16"/>
  <c r="AC28" i="3"/>
  <c r="B14" i="16"/>
  <c r="B15" i="16"/>
  <c r="B16" i="16"/>
  <c r="B17" i="16"/>
  <c r="B18" i="16"/>
  <c r="B19" i="16"/>
  <c r="B20" i="16"/>
  <c r="B21" i="16"/>
  <c r="B22" i="16"/>
  <c r="B23" i="16"/>
  <c r="C14" i="16" a="1"/>
  <c r="C14" i="16"/>
  <c r="C15" i="16"/>
  <c r="C16" i="16"/>
  <c r="C17" i="16"/>
  <c r="C18" i="16"/>
  <c r="C19" i="16"/>
  <c r="C20" i="16"/>
  <c r="C21" i="16"/>
  <c r="C22" i="16"/>
  <c r="C23" i="16"/>
  <c r="C24" i="16"/>
  <c r="AA28" i="3"/>
  <c r="T28" i="3"/>
  <c r="Z28" i="3"/>
  <c r="T29" i="3"/>
  <c r="X29" i="3"/>
  <c r="Y29" i="3"/>
  <c r="W29" i="3"/>
  <c r="AA29" i="3"/>
  <c r="Z29" i="3"/>
  <c r="T30" i="3"/>
  <c r="X30" i="3"/>
  <c r="Y30" i="3"/>
  <c r="W30" i="3"/>
  <c r="AA30" i="3"/>
  <c r="T31" i="3" a="1"/>
  <c r="T31" i="3"/>
  <c r="X31" i="3" a="1"/>
  <c r="X31" i="3"/>
  <c r="Y31" i="3" a="1"/>
  <c r="Y31" i="3"/>
  <c r="W31" i="3" a="1"/>
  <c r="W31" i="3"/>
  <c r="AA31" i="3" a="1"/>
  <c r="AA31" i="3"/>
  <c r="L28" i="3"/>
  <c r="L29" i="3"/>
  <c r="L30" i="3"/>
  <c r="L31" i="3" a="1"/>
  <c r="L31" i="3"/>
  <c r="I28" i="3"/>
  <c r="K28" i="3"/>
  <c r="M28" i="3"/>
  <c r="N28" i="3"/>
  <c r="O28" i="3"/>
  <c r="R28" i="3"/>
  <c r="S28" i="3"/>
  <c r="AJ28" i="3"/>
  <c r="I29" i="3"/>
  <c r="K29" i="3"/>
  <c r="M29" i="3"/>
  <c r="N29" i="3"/>
  <c r="O29" i="3"/>
  <c r="R29" i="3"/>
  <c r="S29" i="3"/>
  <c r="AC29" i="3"/>
  <c r="AJ29" i="3"/>
  <c r="AK29" i="3"/>
  <c r="I30" i="3"/>
  <c r="K30" i="3"/>
  <c r="M30" i="3"/>
  <c r="N30" i="3"/>
  <c r="O30" i="3"/>
  <c r="R30" i="3"/>
  <c r="S30" i="3"/>
  <c r="AC30" i="3"/>
  <c r="AK30" i="3"/>
  <c r="I31" i="3" a="1"/>
  <c r="I31" i="3"/>
  <c r="K31" i="3" a="1"/>
  <c r="K31" i="3"/>
  <c r="M31" i="3" a="1"/>
  <c r="M31" i="3"/>
  <c r="N31" i="3" a="1"/>
  <c r="N31" i="3"/>
  <c r="O31" i="3" a="1"/>
  <c r="O31" i="3"/>
  <c r="R31" i="3" a="1"/>
  <c r="R31" i="3"/>
  <c r="S31" i="3" a="1"/>
  <c r="S31" i="3"/>
  <c r="AC31" i="3" a="1"/>
  <c r="AC31" i="3"/>
  <c r="AJ31" i="3" a="1"/>
  <c r="AJ31" i="3"/>
  <c r="AK31" i="3" a="1"/>
  <c r="AK31" i="3"/>
  <c r="G28" i="3"/>
  <c r="H28" i="3"/>
  <c r="G29" i="3"/>
  <c r="H29" i="3"/>
  <c r="G30" i="3"/>
  <c r="H30" i="3"/>
  <c r="G31" i="3" a="1"/>
  <c r="G31" i="3"/>
  <c r="H31" i="3" a="1"/>
  <c r="H31" i="3"/>
  <c r="F30" i="3"/>
  <c r="F31" i="3" a="1"/>
  <c r="F31" i="3"/>
  <c r="F29" i="3"/>
  <c r="F28" i="3"/>
  <c r="B3" i="16"/>
</calcChain>
</file>

<file path=xl/sharedStrings.xml><?xml version="1.0" encoding="utf-8"?>
<sst xmlns="http://schemas.openxmlformats.org/spreadsheetml/2006/main" count="64" uniqueCount="55">
  <si>
    <t>ID</t>
  </si>
  <si>
    <t>Name</t>
  </si>
  <si>
    <t>Total (%)</t>
  </si>
  <si>
    <t>Grade</t>
  </si>
  <si>
    <t>BIN</t>
  </si>
  <si>
    <t>Scale</t>
  </si>
  <si>
    <t>F</t>
  </si>
  <si>
    <t>rand#</t>
  </si>
  <si>
    <t>A</t>
  </si>
  <si>
    <t>B</t>
  </si>
  <si>
    <t>C</t>
  </si>
  <si>
    <t>D</t>
  </si>
  <si>
    <t>FREQ</t>
  </si>
  <si>
    <t>Tbl</t>
  </si>
  <si>
    <t>MAXIMUM POINTS</t>
  </si>
  <si>
    <t>Sources</t>
  </si>
  <si>
    <t>LogicArgue</t>
  </si>
  <si>
    <t>TestIt</t>
  </si>
  <si>
    <t>Median</t>
  </si>
  <si>
    <t>Average</t>
  </si>
  <si>
    <t>Std. Dev.</t>
  </si>
  <si>
    <t>Median Abs. Dev.</t>
  </si>
  <si>
    <t>Needs to be set at just above 10% so people AT cutoff get sorted properly, with vlookup on Grade page</t>
  </si>
  <si>
    <t>NEVER SORT WITH HIDDEN LEFT COLUMNS</t>
  </si>
  <si>
    <t>M.A.D.</t>
  </si>
  <si>
    <t>DropPts (E)</t>
  </si>
  <si>
    <t>TotalPts</t>
  </si>
  <si>
    <t>Test1CritThink</t>
  </si>
  <si>
    <t>HISTOGRAM</t>
  </si>
  <si>
    <t>min</t>
  </si>
  <si>
    <t>max</t>
  </si>
  <si>
    <t>BinSize</t>
  </si>
  <si>
    <t>class size</t>
  </si>
  <si>
    <t>approx nbins - 2</t>
  </si>
  <si>
    <t>FREQ (#below this closest value)</t>
  </si>
  <si>
    <t>Max Score (+ shifts down)</t>
  </si>
  <si>
    <t>avg n per bin</t>
  </si>
  <si>
    <t>MotionMap</t>
  </si>
  <si>
    <t>Glowscript1</t>
  </si>
  <si>
    <t>WS2PosVel</t>
  </si>
  <si>
    <t>WS3Accel</t>
  </si>
  <si>
    <t>WS3p4</t>
  </si>
  <si>
    <t>GlowscriptPublicFolderLink</t>
  </si>
  <si>
    <t>GSL2,3</t>
  </si>
  <si>
    <t>GS4</t>
  </si>
  <si>
    <t>GS5</t>
  </si>
  <si>
    <t>GS6</t>
  </si>
  <si>
    <t>FsupplQs</t>
  </si>
  <si>
    <t>Placeholder</t>
  </si>
  <si>
    <t>SysSchmFDiagPrac2</t>
  </si>
  <si>
    <t>NTLF1</t>
  </si>
  <si>
    <t>forceN2</t>
  </si>
  <si>
    <t>SysSFDPrac3,4</t>
  </si>
  <si>
    <t>N3Law</t>
  </si>
  <si>
    <t>Test2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</si>
</sst>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00%"/>
    <numFmt numFmtId="165" formatCode="0.0000000000%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mbria"/>
      <scheme val="major"/>
    </font>
    <font>
      <sz val="18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860">
    <xf numFmtId="0" fontId="0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Font="1" applyFill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left"/>
    </xf>
    <xf numFmtId="49" fontId="0" fillId="0" borderId="0" xfId="0" applyNumberFormat="1" applyFon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center"/>
    </xf>
    <xf numFmtId="2" fontId="0" fillId="0" borderId="0" xfId="0" applyNumberFormat="1" applyFont="1" applyFill="1" applyAlignment="1">
      <alignment horizontal="center"/>
    </xf>
    <xf numFmtId="9" fontId="0" fillId="0" borderId="0" xfId="613" applyFont="1" applyFill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2" xfId="0" applyFont="1" applyBorder="1" applyAlignment="1">
      <alignment horizontal="left"/>
    </xf>
    <xf numFmtId="0" fontId="6" fillId="0" borderId="1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9" fontId="5" fillId="0" borderId="3" xfId="613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right"/>
    </xf>
    <xf numFmtId="1" fontId="0" fillId="0" borderId="0" xfId="0" applyNumberFormat="1" applyFont="1" applyFill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0" fontId="5" fillId="0" borderId="0" xfId="0" applyFont="1" applyFill="1" applyAlignment="1">
      <alignment horizontal="right"/>
    </xf>
    <xf numFmtId="10" fontId="0" fillId="0" borderId="0" xfId="613" applyNumberFormat="1" applyFont="1" applyFill="1" applyBorder="1" applyAlignment="1">
      <alignment horizontal="center"/>
    </xf>
    <xf numFmtId="164" fontId="0" fillId="0" borderId="0" xfId="613" applyNumberFormat="1" applyFont="1" applyFill="1" applyAlignment="1">
      <alignment horizontal="center"/>
    </xf>
    <xf numFmtId="1" fontId="0" fillId="0" borderId="0" xfId="613" applyNumberFormat="1" applyFont="1" applyAlignment="1">
      <alignment horizontal="center"/>
    </xf>
    <xf numFmtId="1" fontId="0" fillId="0" borderId="3" xfId="613" applyNumberFormat="1" applyFont="1" applyBorder="1" applyAlignment="1">
      <alignment horizontal="center"/>
    </xf>
    <xf numFmtId="10" fontId="0" fillId="0" borderId="0" xfId="0" applyNumberFormat="1"/>
    <xf numFmtId="0" fontId="5" fillId="0" borderId="0" xfId="0" applyFont="1"/>
    <xf numFmtId="9" fontId="0" fillId="0" borderId="0" xfId="613" applyFont="1"/>
    <xf numFmtId="0" fontId="0" fillId="0" borderId="0" xfId="0" applyAlignment="1">
      <alignment horizontal="center"/>
    </xf>
    <xf numFmtId="0" fontId="5" fillId="0" borderId="0" xfId="0" applyFont="1" applyFill="1" applyBorder="1" applyAlignment="1">
      <alignment horizontal="right"/>
    </xf>
    <xf numFmtId="9" fontId="0" fillId="0" borderId="0" xfId="613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0" fillId="0" borderId="0" xfId="0" applyFont="1" applyBorder="1" applyAlignment="1">
      <alignment wrapText="1"/>
    </xf>
    <xf numFmtId="165" fontId="0" fillId="0" borderId="0" xfId="613" applyNumberFormat="1" applyFont="1" applyFill="1" applyAlignment="1">
      <alignment horizontal="center"/>
    </xf>
    <xf numFmtId="0" fontId="7" fillId="0" borderId="0" xfId="0" applyFont="1" applyBorder="1" applyAlignment="1">
      <alignment wrapText="1"/>
    </xf>
    <xf numFmtId="0" fontId="7" fillId="0" borderId="0" xfId="0" applyNumberFormat="1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3" fillId="0" borderId="0" xfId="858"/>
    <xf numFmtId="0" fontId="0" fillId="0" borderId="1" xfId="0" applyNumberFormat="1" applyFont="1" applyFill="1" applyBorder="1" applyAlignment="1">
      <alignment horizontal="center"/>
    </xf>
    <xf numFmtId="0" fontId="0" fillId="0" borderId="0" xfId="0" applyFont="1" applyBorder="1" applyAlignment="1">
      <alignment horizontal="center" wrapText="1"/>
    </xf>
  </cellXfs>
  <cellStyles count="860">
    <cellStyle name="Followed Hyperlink" xfId="1" builtinId="9" hidden="1"/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/>
    <cellStyle name="Normal" xfId="0" builtinId="0"/>
    <cellStyle name="Percent" xfId="613" builtinId="5"/>
  </cellStyles>
  <dxfs count="17">
    <dxf>
      <font>
        <color auto="1"/>
      </font>
      <fill>
        <patternFill>
          <fgColor auto="1"/>
          <bgColor auto="1"/>
        </patternFill>
      </fill>
      <border>
        <bottom style="thin">
          <color theme="1"/>
        </bottom>
      </border>
    </dxf>
    <dxf>
      <font>
        <color theme="1"/>
      </font>
      <fill>
        <patternFill patternType="solid">
          <fgColor indexed="64"/>
          <bgColor theme="0" tint="-4.9989318521683403E-2"/>
        </patternFill>
      </fill>
    </dxf>
    <dxf>
      <font>
        <color auto="1"/>
      </font>
      <fill>
        <patternFill>
          <fgColor auto="1"/>
          <bgColor auto="1"/>
        </patternFill>
      </fill>
      <border>
        <bottom style="thin">
          <color theme="1"/>
        </bottom>
      </border>
    </dxf>
    <dxf>
      <font>
        <color theme="1"/>
      </font>
      <fill>
        <patternFill patternType="solid">
          <fgColor indexed="64"/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fgColor auto="1"/>
          <bgColor auto="1"/>
        </patternFill>
      </fill>
      <border>
        <bottom style="thin">
          <color theme="1"/>
        </bottom>
      </border>
    </dxf>
    <dxf>
      <font>
        <color theme="1"/>
      </font>
      <fill>
        <patternFill patternType="solid">
          <fgColor indexed="64"/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fgColor auto="1"/>
          <bgColor auto="1"/>
        </patternFill>
      </fill>
      <border>
        <bottom style="thin">
          <color theme="1"/>
        </bottom>
      </border>
    </dxf>
    <dxf>
      <font>
        <color theme="1"/>
      </font>
      <fill>
        <patternFill patternType="solid">
          <fgColor indexed="64"/>
          <bgColor theme="0" tint="-4.9989318521683403E-2"/>
        </patternFill>
      </fill>
    </dxf>
    <dxf>
      <font>
        <color auto="1"/>
      </font>
      <fill>
        <patternFill>
          <fgColor auto="1"/>
          <bgColor auto="1"/>
        </patternFill>
      </fill>
      <border>
        <bottom style="thin">
          <color theme="1"/>
        </bottom>
      </border>
    </dxf>
    <dxf>
      <font>
        <color theme="1"/>
      </font>
      <fill>
        <patternFill patternType="solid">
          <fgColor indexed="64"/>
          <bgColor theme="0" tint="-4.9989318521683403E-2"/>
        </patternFill>
      </fill>
    </dxf>
    <dxf>
      <font>
        <color auto="1"/>
      </font>
      <fill>
        <patternFill>
          <fgColor auto="1"/>
          <bgColor auto="1"/>
        </patternFill>
      </fill>
      <border>
        <bottom style="thin">
          <color theme="1"/>
        </bottom>
      </border>
    </dxf>
    <dxf>
      <font>
        <color theme="1"/>
      </font>
      <fill>
        <patternFill patternType="solid">
          <fgColor indexed="64"/>
          <bgColor theme="0" tint="-4.9989318521683403E-2"/>
        </patternFill>
      </fill>
    </dxf>
    <dxf>
      <font>
        <color auto="1"/>
      </font>
      <fill>
        <patternFill>
          <fgColor auto="1"/>
          <bgColor auto="1"/>
        </patternFill>
      </fill>
      <border>
        <bottom style="thin">
          <color theme="1"/>
        </bottom>
      </border>
    </dxf>
    <dxf>
      <font>
        <color auto="1"/>
      </font>
      <fill>
        <patternFill>
          <fgColor auto="1"/>
          <bgColor auto="1"/>
        </patternFill>
      </fill>
      <border>
        <bottom style="thin">
          <color theme="1"/>
        </bottom>
      </border>
    </dxf>
    <dxf>
      <font>
        <color theme="1"/>
      </font>
      <fill>
        <patternFill patternType="solid">
          <fgColor indexed="64"/>
          <bgColor theme="0" tint="-4.9989318521683403E-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GradeScale!$C$13</c:f>
              <c:strCache>
                <c:ptCount val="1"/>
                <c:pt idx="0">
                  <c:v>FREQ (#below this closest value)</c:v>
                </c:pt>
              </c:strCache>
            </c:strRef>
          </c:tx>
          <c:invertIfNegative val="0"/>
          <c:cat>
            <c:numRef>
              <c:f>GradeScale!$B$14:$B$23</c:f>
              <c:numCache>
                <c:formatCode>0.00%</c:formatCode>
                <c:ptCount val="10"/>
                <c:pt idx="0">
                  <c:v>0.448658008658009</c:v>
                </c:pt>
                <c:pt idx="1">
                  <c:v>0.528658008658008</c:v>
                </c:pt>
                <c:pt idx="2">
                  <c:v>0.608658008658008</c:v>
                </c:pt>
                <c:pt idx="3">
                  <c:v>0.688658008658008</c:v>
                </c:pt>
                <c:pt idx="4">
                  <c:v>0.768658008658008</c:v>
                </c:pt>
                <c:pt idx="5">
                  <c:v>0.848658008658008</c:v>
                </c:pt>
                <c:pt idx="6">
                  <c:v>0.928658008658008</c:v>
                </c:pt>
                <c:pt idx="7">
                  <c:v>1.008658008658008</c:v>
                </c:pt>
                <c:pt idx="8">
                  <c:v>1.088658008658008</c:v>
                </c:pt>
                <c:pt idx="9">
                  <c:v>1.168658008658008</c:v>
                </c:pt>
              </c:numCache>
            </c:numRef>
          </c:cat>
          <c:val>
            <c:numRef>
              <c:f>GradeScale!$C$14:$C$23</c:f>
              <c:numCache>
                <c:formatCode>General</c:formatCode>
                <c:ptCount val="1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2.0</c:v>
                </c:pt>
                <c:pt idx="4">
                  <c:v>3.0</c:v>
                </c:pt>
                <c:pt idx="5">
                  <c:v>7.0</c:v>
                </c:pt>
                <c:pt idx="6">
                  <c:v>4.0</c:v>
                </c:pt>
                <c:pt idx="7">
                  <c:v>6.0</c:v>
                </c:pt>
                <c:pt idx="8">
                  <c:v>1.0</c:v>
                </c:pt>
                <c:pt idx="9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0569128"/>
        <c:axId val="2111788488"/>
      </c:barChart>
      <c:catAx>
        <c:axId val="2110569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Max in Bin Range</a:t>
                </a:r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2111788488"/>
        <c:crosses val="autoZero"/>
        <c:auto val="1"/>
        <c:lblAlgn val="ctr"/>
        <c:lblOffset val="100"/>
        <c:noMultiLvlLbl val="0"/>
      </c:catAx>
      <c:valAx>
        <c:axId val="21117884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# in bin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105691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22227231050951"/>
          <c:y val="0.0384029222507136"/>
          <c:w val="0.928676359551975"/>
          <c:h val="0.7545629928879"/>
        </c:manualLayout>
      </c:layout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xVal>
            <c:numRef>
              <c:f>Grade!$AK$2:$AK$24</c:f>
              <c:numCache>
                <c:formatCode>0.00%</c:formatCode>
                <c:ptCount val="23"/>
                <c:pt idx="0">
                  <c:v>0.935064935064935</c:v>
                </c:pt>
                <c:pt idx="1">
                  <c:v>0.935064935064935</c:v>
                </c:pt>
                <c:pt idx="2">
                  <c:v>0.948051948051948</c:v>
                </c:pt>
                <c:pt idx="3">
                  <c:v>0.835497835497835</c:v>
                </c:pt>
                <c:pt idx="4">
                  <c:v>0.935064935064935</c:v>
                </c:pt>
                <c:pt idx="5">
                  <c:v>0.800865800865801</c:v>
                </c:pt>
                <c:pt idx="6">
                  <c:v>0.748917748917749</c:v>
                </c:pt>
                <c:pt idx="7">
                  <c:v>0.844155844155844</c:v>
                </c:pt>
                <c:pt idx="8">
                  <c:v>0.883116883116883</c:v>
                </c:pt>
                <c:pt idx="9">
                  <c:v>1.008658008658009</c:v>
                </c:pt>
                <c:pt idx="10">
                  <c:v>0.891774891774892</c:v>
                </c:pt>
                <c:pt idx="11">
                  <c:v>0.835497835497835</c:v>
                </c:pt>
                <c:pt idx="12">
                  <c:v>0.913419913419913</c:v>
                </c:pt>
                <c:pt idx="13">
                  <c:v>0.9004329004329</c:v>
                </c:pt>
                <c:pt idx="14">
                  <c:v>0.766233766233766</c:v>
                </c:pt>
                <c:pt idx="15">
                  <c:v>0.848484848484848</c:v>
                </c:pt>
                <c:pt idx="16">
                  <c:v>0.692640692640692</c:v>
                </c:pt>
                <c:pt idx="17">
                  <c:v>0.800865800865801</c:v>
                </c:pt>
                <c:pt idx="18">
                  <c:v>0.939393939393939</c:v>
                </c:pt>
                <c:pt idx="19">
                  <c:v>0.822510822510822</c:v>
                </c:pt>
                <c:pt idx="20">
                  <c:v>0.666666666666667</c:v>
                </c:pt>
                <c:pt idx="21">
                  <c:v>0.623376623376623</c:v>
                </c:pt>
                <c:pt idx="22">
                  <c:v>1.0</c:v>
                </c:pt>
              </c:numCache>
            </c:numRef>
          </c:xVal>
          <c:yVal>
            <c:numRef>
              <c:f>Grade!$AM$2:$AM$24</c:f>
              <c:numCache>
                <c:formatCode>0</c:formatCode>
                <c:ptCount val="2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584152"/>
        <c:axId val="2110587304"/>
      </c:scatterChart>
      <c:valAx>
        <c:axId val="2110584152"/>
        <c:scaling>
          <c:orientation val="minMax"/>
          <c:max val="1.1"/>
          <c:min val="0.6"/>
        </c:scaling>
        <c:delete val="0"/>
        <c:axPos val="b"/>
        <c:numFmt formatCode="0.00%" sourceLinked="1"/>
        <c:majorTickMark val="out"/>
        <c:minorTickMark val="none"/>
        <c:tickLblPos val="nextTo"/>
        <c:crossAx val="2110587304"/>
        <c:crosses val="autoZero"/>
        <c:crossBetween val="midCat"/>
      </c:valAx>
      <c:valAx>
        <c:axId val="2110587304"/>
        <c:scaling>
          <c:orientation val="minMax"/>
          <c:max val="1.0"/>
          <c:min val="0.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110584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12700</xdr:colOff>
      <xdr:row>1</xdr:row>
      <xdr:rowOff>12700</xdr:rowOff>
    </xdr:from>
    <xdr:to>
      <xdr:col>46</xdr:col>
      <xdr:colOff>60476</xdr:colOff>
      <xdr:row>13</xdr:row>
      <xdr:rowOff>181429</xdr:rowOff>
    </xdr:to>
    <xdr:graphicFrame macro="">
      <xdr:nvGraphicFramePr>
        <xdr:cNvPr id="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39</xdr:col>
      <xdr:colOff>25401</xdr:colOff>
      <xdr:row>13</xdr:row>
      <xdr:rowOff>196547</xdr:rowOff>
    </xdr:from>
    <xdr:to>
      <xdr:col>46</xdr:col>
      <xdr:colOff>15120</xdr:colOff>
      <xdr:row>24</xdr:row>
      <xdr:rowOff>60476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AP37"/>
  <sheetViews>
    <sheetView tabSelected="1" zoomScale="84" zoomScaleNormal="84" zoomScalePageLayoutView="84" workbookViewId="0">
      <selection activeCell="H15" sqref="H15"/>
    </sheetView>
  </sheetViews>
  <sheetFormatPr baseColWidth="10" defaultColWidth="11" defaultRowHeight="15" x14ac:dyDescent="0"/>
  <cols>
    <col min="1" max="1" width="5.5" style="1" customWidth="1"/>
    <col min="2" max="2" width="28.5" style="3" customWidth="1"/>
    <col min="3" max="3" width="11.5" style="1" customWidth="1"/>
    <col min="4" max="4" width="8.6640625" style="1" customWidth="1"/>
    <col min="5" max="5" width="12" style="1" customWidth="1"/>
    <col min="6" max="6" width="9" style="1" customWidth="1"/>
    <col min="7" max="7" width="11.83203125" style="1" customWidth="1"/>
    <col min="8" max="8" width="7.33203125" style="1" customWidth="1"/>
    <col min="9" max="9" width="15.33203125" style="1" customWidth="1"/>
    <col min="10" max="10" width="7.83203125" style="1" customWidth="1"/>
    <col min="11" max="11" width="15.83203125" style="1" customWidth="1"/>
    <col min="12" max="12" width="13.6640625" style="1" customWidth="1"/>
    <col min="13" max="13" width="12.6640625" style="1" bestFit="1" customWidth="1"/>
    <col min="14" max="14" width="10.5" style="1" bestFit="1" customWidth="1"/>
    <col min="15" max="15" width="12" style="1" customWidth="1"/>
    <col min="16" max="17" width="7.5" style="1" customWidth="1"/>
    <col min="18" max="18" width="7.6640625" style="1" bestFit="1" customWidth="1"/>
    <col min="19" max="19" width="9.83203125" style="1" bestFit="1" customWidth="1"/>
    <col min="20" max="20" width="20" style="1" bestFit="1" customWidth="1"/>
    <col min="21" max="21" width="7.6640625" style="1" bestFit="1" customWidth="1"/>
    <col min="22" max="22" width="8.6640625" style="1" bestFit="1" customWidth="1"/>
    <col min="23" max="23" width="15" style="1" bestFit="1" customWidth="1"/>
    <col min="24" max="24" width="11.33203125" style="1" customWidth="1"/>
    <col min="25" max="25" width="6.6640625" style="1" bestFit="1" customWidth="1"/>
    <col min="26" max="26" width="14" style="1" customWidth="1"/>
    <col min="27" max="27" width="9.33203125" style="1" customWidth="1"/>
    <col min="28" max="28" width="17.6640625" style="1" customWidth="1"/>
    <col min="29" max="29" width="9.83203125" style="1" customWidth="1"/>
    <col min="30" max="30" width="9.6640625" style="1" customWidth="1"/>
    <col min="31" max="31" width="5" style="1" customWidth="1"/>
    <col min="32" max="32" width="8.5" style="1" customWidth="1"/>
    <col min="33" max="33" width="12.5" style="1" customWidth="1"/>
    <col min="34" max="34" width="11.83203125" style="1" customWidth="1"/>
    <col min="35" max="35" width="6.33203125" style="1" customWidth="1"/>
    <col min="36" max="36" width="10.33203125" style="1" bestFit="1" customWidth="1"/>
    <col min="37" max="37" width="10.1640625" style="1" bestFit="1" customWidth="1"/>
    <col min="38" max="38" width="7.5" style="1" bestFit="1" customWidth="1"/>
    <col min="39" max="16384" width="11" style="1"/>
  </cols>
  <sheetData>
    <row r="1" spans="1:42">
      <c r="A1" s="10" t="s">
        <v>13</v>
      </c>
      <c r="B1" s="11" t="s">
        <v>1</v>
      </c>
      <c r="C1" s="10" t="s">
        <v>0</v>
      </c>
      <c r="D1" s="10" t="s">
        <v>7</v>
      </c>
      <c r="E1" s="10" t="s">
        <v>25</v>
      </c>
      <c r="F1" s="12" t="s">
        <v>15</v>
      </c>
      <c r="G1" s="12" t="s">
        <v>16</v>
      </c>
      <c r="H1" s="12" t="s">
        <v>17</v>
      </c>
      <c r="I1" s="12" t="s">
        <v>27</v>
      </c>
      <c r="J1" s="12" t="s">
        <v>41</v>
      </c>
      <c r="K1" s="12" t="s">
        <v>37</v>
      </c>
      <c r="L1" s="12" t="s">
        <v>39</v>
      </c>
      <c r="M1" s="12" t="s">
        <v>38</v>
      </c>
      <c r="N1" s="12" t="s">
        <v>40</v>
      </c>
      <c r="O1" s="12" t="s">
        <v>43</v>
      </c>
      <c r="P1" s="12" t="s">
        <v>44</v>
      </c>
      <c r="Q1" s="12" t="s">
        <v>45</v>
      </c>
      <c r="R1" s="12" t="s">
        <v>46</v>
      </c>
      <c r="S1" s="12" t="s">
        <v>47</v>
      </c>
      <c r="T1" s="12" t="s">
        <v>49</v>
      </c>
      <c r="U1" s="12" t="s">
        <v>50</v>
      </c>
      <c r="V1" s="12" t="s">
        <v>51</v>
      </c>
      <c r="W1" s="12" t="s">
        <v>52</v>
      </c>
      <c r="X1" s="12" t="s">
        <v>53</v>
      </c>
      <c r="Y1" s="12" t="s">
        <v>54</v>
      </c>
      <c r="Z1" s="12"/>
      <c r="AA1" s="12"/>
      <c r="AB1" s="12"/>
      <c r="AC1" s="12"/>
      <c r="AD1" s="12"/>
      <c r="AE1" s="12"/>
      <c r="AF1" s="12"/>
      <c r="AG1" s="12"/>
      <c r="AH1" s="12"/>
      <c r="AI1" s="30"/>
      <c r="AJ1" s="12" t="s">
        <v>26</v>
      </c>
      <c r="AK1" s="10" t="s">
        <v>2</v>
      </c>
      <c r="AL1" s="10" t="s">
        <v>3</v>
      </c>
      <c r="AM1" s="1" t="s">
        <v>48</v>
      </c>
    </row>
    <row r="2" spans="1:42" ht="22" customHeight="1">
      <c r="A2" s="38"/>
      <c r="B2" s="31"/>
      <c r="C2" s="31"/>
      <c r="D2" s="6"/>
      <c r="E2" s="18">
        <f t="shared" ref="E2:E24" si="0">SUMIF(F2:AI2,"E",F$26:AI$26)</f>
        <v>0</v>
      </c>
      <c r="F2" s="17">
        <v>4</v>
      </c>
      <c r="G2" s="17">
        <v>6</v>
      </c>
      <c r="H2" s="17">
        <v>5</v>
      </c>
      <c r="I2" s="17">
        <v>36</v>
      </c>
      <c r="J2" s="17">
        <v>5</v>
      </c>
      <c r="K2" s="17">
        <v>5</v>
      </c>
      <c r="L2" s="17">
        <v>10</v>
      </c>
      <c r="M2" s="17">
        <v>2</v>
      </c>
      <c r="N2" s="17">
        <v>9</v>
      </c>
      <c r="O2" s="17">
        <v>6</v>
      </c>
      <c r="P2" s="17">
        <v>3</v>
      </c>
      <c r="Q2" s="17">
        <v>3</v>
      </c>
      <c r="R2" s="17">
        <v>3</v>
      </c>
      <c r="S2" s="17">
        <v>5</v>
      </c>
      <c r="T2" s="17">
        <v>5</v>
      </c>
      <c r="U2" s="17">
        <v>2</v>
      </c>
      <c r="V2" s="17">
        <v>4</v>
      </c>
      <c r="W2" s="17">
        <v>5</v>
      </c>
      <c r="X2" s="17">
        <v>5</v>
      </c>
      <c r="Y2" s="17">
        <v>93</v>
      </c>
      <c r="Z2" s="17"/>
      <c r="AA2" s="17"/>
      <c r="AB2" s="17"/>
      <c r="AC2" s="17"/>
      <c r="AD2" s="17"/>
      <c r="AE2" s="17"/>
      <c r="AF2" s="17"/>
      <c r="AG2" s="17"/>
      <c r="AH2" s="17"/>
      <c r="AI2" s="18"/>
      <c r="AJ2" s="22">
        <f t="shared" ref="AJ2:AJ24" si="1">SUM(F2:AI2)</f>
        <v>216</v>
      </c>
      <c r="AK2" s="20">
        <f t="shared" ref="AK2:AK24" si="2">AJ2/(AJ$26-$E2)</f>
        <v>0.93506493506493504</v>
      </c>
      <c r="AL2" s="7" t="str">
        <f t="shared" ref="AL2:AL24" si="3">VLOOKUP(AK2,gradeBins,2,TRUE)</f>
        <v>A</v>
      </c>
      <c r="AM2" s="17">
        <v>0</v>
      </c>
      <c r="AN2" s="8"/>
      <c r="AO2" s="8"/>
      <c r="AP2" s="8"/>
    </row>
    <row r="3" spans="1:42" ht="22" customHeight="1">
      <c r="A3" s="38"/>
      <c r="B3" s="31"/>
      <c r="C3" s="31"/>
      <c r="D3" s="6"/>
      <c r="E3" s="18">
        <f t="shared" si="0"/>
        <v>0</v>
      </c>
      <c r="F3" s="17">
        <v>5</v>
      </c>
      <c r="G3" s="17">
        <v>6</v>
      </c>
      <c r="H3" s="17">
        <v>5</v>
      </c>
      <c r="I3" s="17">
        <v>40</v>
      </c>
      <c r="J3" s="17">
        <v>5</v>
      </c>
      <c r="K3" s="17">
        <v>5</v>
      </c>
      <c r="L3" s="17">
        <v>11</v>
      </c>
      <c r="M3" s="17">
        <v>1</v>
      </c>
      <c r="N3" s="17">
        <v>8</v>
      </c>
      <c r="O3" s="17">
        <v>6</v>
      </c>
      <c r="P3" s="17">
        <v>2</v>
      </c>
      <c r="Q3" s="17">
        <v>2</v>
      </c>
      <c r="R3" s="17">
        <v>3</v>
      </c>
      <c r="S3" s="17">
        <v>5</v>
      </c>
      <c r="T3" s="17">
        <v>5</v>
      </c>
      <c r="U3" s="17">
        <v>2</v>
      </c>
      <c r="V3" s="17">
        <v>4</v>
      </c>
      <c r="W3" s="17">
        <v>5</v>
      </c>
      <c r="X3" s="17">
        <v>5</v>
      </c>
      <c r="Y3" s="17">
        <v>91</v>
      </c>
      <c r="Z3" s="17"/>
      <c r="AA3" s="17"/>
      <c r="AB3" s="17"/>
      <c r="AC3" s="17"/>
      <c r="AD3" s="17"/>
      <c r="AE3" s="17"/>
      <c r="AF3" s="17"/>
      <c r="AG3" s="17"/>
      <c r="AH3" s="17"/>
      <c r="AI3" s="18"/>
      <c r="AJ3" s="22">
        <f t="shared" si="1"/>
        <v>216</v>
      </c>
      <c r="AK3" s="20">
        <f t="shared" si="2"/>
        <v>0.93506493506493504</v>
      </c>
      <c r="AL3" s="7" t="str">
        <f t="shared" si="3"/>
        <v>A</v>
      </c>
      <c r="AM3" s="17">
        <v>0</v>
      </c>
      <c r="AN3" s="8"/>
      <c r="AO3" s="8"/>
      <c r="AP3" s="8"/>
    </row>
    <row r="4" spans="1:42" s="2" customFormat="1" ht="22" customHeight="1">
      <c r="A4" s="38"/>
      <c r="B4" s="31"/>
      <c r="C4" s="31"/>
      <c r="D4" s="6"/>
      <c r="E4" s="18">
        <f t="shared" si="0"/>
        <v>0</v>
      </c>
      <c r="F4" s="17">
        <v>4</v>
      </c>
      <c r="G4" s="17">
        <v>5</v>
      </c>
      <c r="H4" s="17">
        <v>5</v>
      </c>
      <c r="I4" s="17">
        <v>46</v>
      </c>
      <c r="J4" s="17">
        <v>5</v>
      </c>
      <c r="K4" s="17">
        <v>5</v>
      </c>
      <c r="L4" s="17">
        <v>12</v>
      </c>
      <c r="M4" s="17">
        <v>2</v>
      </c>
      <c r="N4" s="17">
        <v>10</v>
      </c>
      <c r="O4" s="17">
        <v>6</v>
      </c>
      <c r="P4" s="17">
        <v>3</v>
      </c>
      <c r="Q4" s="17">
        <v>3</v>
      </c>
      <c r="R4" s="17">
        <v>3</v>
      </c>
      <c r="S4" s="17">
        <v>5</v>
      </c>
      <c r="T4" s="17">
        <v>5</v>
      </c>
      <c r="U4" s="17">
        <v>2</v>
      </c>
      <c r="V4" s="17">
        <v>4</v>
      </c>
      <c r="W4" s="17">
        <v>5</v>
      </c>
      <c r="X4" s="17">
        <v>5</v>
      </c>
      <c r="Y4" s="17">
        <v>84</v>
      </c>
      <c r="Z4" s="17"/>
      <c r="AA4" s="17"/>
      <c r="AB4" s="17"/>
      <c r="AC4" s="17"/>
      <c r="AD4" s="17"/>
      <c r="AE4" s="17"/>
      <c r="AF4" s="17"/>
      <c r="AG4" s="17"/>
      <c r="AH4" s="17"/>
      <c r="AI4" s="18"/>
      <c r="AJ4" s="22">
        <f t="shared" si="1"/>
        <v>219</v>
      </c>
      <c r="AK4" s="20">
        <f t="shared" si="2"/>
        <v>0.94805194805194803</v>
      </c>
      <c r="AL4" s="7" t="str">
        <f t="shared" si="3"/>
        <v>A</v>
      </c>
      <c r="AM4" s="17">
        <v>0</v>
      </c>
      <c r="AN4" s="7"/>
      <c r="AO4" s="7"/>
      <c r="AP4" s="7"/>
    </row>
    <row r="5" spans="1:42" s="2" customFormat="1" ht="22" customHeight="1">
      <c r="A5" s="38"/>
      <c r="B5" s="31"/>
      <c r="C5" s="31"/>
      <c r="D5" s="6"/>
      <c r="E5" s="18">
        <f t="shared" si="0"/>
        <v>0</v>
      </c>
      <c r="F5" s="17">
        <v>5</v>
      </c>
      <c r="G5" s="17">
        <v>6</v>
      </c>
      <c r="H5" s="17">
        <v>5</v>
      </c>
      <c r="I5" s="17">
        <v>26</v>
      </c>
      <c r="J5" s="17">
        <v>5</v>
      </c>
      <c r="K5" s="17">
        <v>5</v>
      </c>
      <c r="L5" s="17">
        <v>12</v>
      </c>
      <c r="M5" s="17">
        <v>2</v>
      </c>
      <c r="N5" s="17">
        <v>9</v>
      </c>
      <c r="O5" s="17">
        <v>5</v>
      </c>
      <c r="P5" s="17">
        <v>3</v>
      </c>
      <c r="Q5" s="17">
        <v>2</v>
      </c>
      <c r="R5" s="17">
        <v>2</v>
      </c>
      <c r="S5" s="17">
        <v>5</v>
      </c>
      <c r="T5" s="17">
        <v>5</v>
      </c>
      <c r="U5" s="17">
        <v>2</v>
      </c>
      <c r="V5" s="17">
        <v>4</v>
      </c>
      <c r="W5" s="17">
        <v>5</v>
      </c>
      <c r="X5" s="17">
        <v>5</v>
      </c>
      <c r="Y5" s="17">
        <v>80</v>
      </c>
      <c r="Z5" s="17"/>
      <c r="AA5" s="17"/>
      <c r="AB5" s="17"/>
      <c r="AC5" s="17"/>
      <c r="AD5" s="17"/>
      <c r="AE5" s="17"/>
      <c r="AF5" s="17"/>
      <c r="AG5" s="17"/>
      <c r="AH5" s="17"/>
      <c r="AI5" s="18"/>
      <c r="AJ5" s="22">
        <f t="shared" si="1"/>
        <v>193</v>
      </c>
      <c r="AK5" s="20">
        <f t="shared" si="2"/>
        <v>0.83549783549783552</v>
      </c>
      <c r="AL5" s="7" t="str">
        <f t="shared" si="3"/>
        <v>B</v>
      </c>
      <c r="AM5" s="17">
        <v>0</v>
      </c>
      <c r="AN5" s="7"/>
      <c r="AO5" s="7"/>
      <c r="AP5" s="7"/>
    </row>
    <row r="6" spans="1:42" ht="22" customHeight="1">
      <c r="A6" s="38"/>
      <c r="B6" s="31"/>
      <c r="C6" s="31"/>
      <c r="D6" s="6"/>
      <c r="E6" s="18">
        <f t="shared" si="0"/>
        <v>0</v>
      </c>
      <c r="F6" s="17">
        <v>5</v>
      </c>
      <c r="G6" s="17">
        <v>6</v>
      </c>
      <c r="H6" s="17">
        <v>5</v>
      </c>
      <c r="I6" s="17">
        <v>44</v>
      </c>
      <c r="J6" s="17">
        <v>5</v>
      </c>
      <c r="K6" s="17">
        <v>5</v>
      </c>
      <c r="L6" s="17">
        <v>10</v>
      </c>
      <c r="M6" s="17">
        <v>1</v>
      </c>
      <c r="N6" s="17">
        <v>9</v>
      </c>
      <c r="O6" s="17">
        <v>6</v>
      </c>
      <c r="P6" s="17">
        <v>3</v>
      </c>
      <c r="Q6" s="17">
        <v>3</v>
      </c>
      <c r="R6" s="17">
        <v>3</v>
      </c>
      <c r="S6" s="17">
        <v>5</v>
      </c>
      <c r="T6" s="17">
        <v>6</v>
      </c>
      <c r="U6" s="17">
        <v>2</v>
      </c>
      <c r="V6" s="17">
        <v>4</v>
      </c>
      <c r="W6" s="17">
        <v>5</v>
      </c>
      <c r="X6" s="17">
        <v>5</v>
      </c>
      <c r="Y6" s="17">
        <v>84</v>
      </c>
      <c r="Z6" s="17"/>
      <c r="AA6" s="17"/>
      <c r="AB6" s="17"/>
      <c r="AC6" s="17"/>
      <c r="AD6" s="17"/>
      <c r="AE6" s="17"/>
      <c r="AF6" s="17"/>
      <c r="AG6" s="17"/>
      <c r="AH6" s="17"/>
      <c r="AI6" s="18"/>
      <c r="AJ6" s="22">
        <f t="shared" si="1"/>
        <v>216</v>
      </c>
      <c r="AK6" s="20">
        <f t="shared" si="2"/>
        <v>0.93506493506493504</v>
      </c>
      <c r="AL6" s="7" t="str">
        <f t="shared" si="3"/>
        <v>A</v>
      </c>
      <c r="AM6" s="17">
        <v>0</v>
      </c>
      <c r="AN6" s="8"/>
      <c r="AO6" s="8"/>
      <c r="AP6" s="8"/>
    </row>
    <row r="7" spans="1:42" ht="22" customHeight="1">
      <c r="A7" s="38"/>
      <c r="B7" s="31"/>
      <c r="C7" s="31"/>
      <c r="D7" s="6"/>
      <c r="E7" s="18">
        <f t="shared" si="0"/>
        <v>0</v>
      </c>
      <c r="F7" s="18">
        <v>5</v>
      </c>
      <c r="G7" s="18">
        <v>6</v>
      </c>
      <c r="H7" s="18">
        <v>4</v>
      </c>
      <c r="I7" s="18">
        <v>34</v>
      </c>
      <c r="J7" s="17">
        <v>5</v>
      </c>
      <c r="K7" s="17">
        <v>5</v>
      </c>
      <c r="L7" s="17">
        <v>12</v>
      </c>
      <c r="M7" s="18">
        <v>1</v>
      </c>
      <c r="N7" s="18">
        <v>10</v>
      </c>
      <c r="O7" s="18">
        <v>0</v>
      </c>
      <c r="P7" s="18">
        <v>1</v>
      </c>
      <c r="Q7" s="18">
        <v>3</v>
      </c>
      <c r="R7" s="18">
        <v>3</v>
      </c>
      <c r="S7" s="17">
        <v>5</v>
      </c>
      <c r="T7" s="18">
        <v>6</v>
      </c>
      <c r="U7" s="18">
        <v>2</v>
      </c>
      <c r="V7" s="18">
        <v>4</v>
      </c>
      <c r="W7" s="17">
        <v>5</v>
      </c>
      <c r="X7" s="17">
        <v>5</v>
      </c>
      <c r="Y7" s="18">
        <v>69</v>
      </c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22">
        <f t="shared" si="1"/>
        <v>185</v>
      </c>
      <c r="AK7" s="20">
        <f t="shared" si="2"/>
        <v>0.80086580086580084</v>
      </c>
      <c r="AL7" s="7" t="str">
        <f t="shared" si="3"/>
        <v>B</v>
      </c>
      <c r="AM7" s="17">
        <v>0</v>
      </c>
      <c r="AN7" s="8"/>
      <c r="AO7" s="8"/>
      <c r="AP7" s="8"/>
    </row>
    <row r="8" spans="1:42" ht="22" customHeight="1">
      <c r="A8" s="38"/>
      <c r="B8" s="31"/>
      <c r="C8" s="31"/>
      <c r="D8" s="6"/>
      <c r="E8" s="18">
        <f t="shared" si="0"/>
        <v>0</v>
      </c>
      <c r="F8" s="17">
        <v>0</v>
      </c>
      <c r="G8" s="17">
        <v>6</v>
      </c>
      <c r="H8" s="17">
        <v>5</v>
      </c>
      <c r="I8" s="17">
        <v>31</v>
      </c>
      <c r="J8" s="17">
        <v>5</v>
      </c>
      <c r="K8" s="17">
        <v>5</v>
      </c>
      <c r="L8" s="17">
        <v>12</v>
      </c>
      <c r="M8" s="17">
        <v>1</v>
      </c>
      <c r="N8" s="17">
        <v>9</v>
      </c>
      <c r="O8" s="17">
        <v>2</v>
      </c>
      <c r="P8" s="17">
        <v>1</v>
      </c>
      <c r="Q8" s="17">
        <v>3</v>
      </c>
      <c r="R8" s="17">
        <v>2</v>
      </c>
      <c r="S8" s="17">
        <v>5</v>
      </c>
      <c r="T8" s="17">
        <v>0</v>
      </c>
      <c r="U8" s="17">
        <v>0</v>
      </c>
      <c r="V8" s="17">
        <v>0</v>
      </c>
      <c r="W8" s="17">
        <v>5</v>
      </c>
      <c r="X8" s="17">
        <v>5</v>
      </c>
      <c r="Y8" s="17">
        <v>76</v>
      </c>
      <c r="Z8" s="17"/>
      <c r="AA8" s="17"/>
      <c r="AB8" s="17"/>
      <c r="AC8" s="17"/>
      <c r="AD8" s="17"/>
      <c r="AE8" s="17"/>
      <c r="AF8" s="17"/>
      <c r="AG8" s="17"/>
      <c r="AH8" s="17"/>
      <c r="AI8" s="18"/>
      <c r="AJ8" s="22">
        <f t="shared" si="1"/>
        <v>173</v>
      </c>
      <c r="AK8" s="20">
        <f t="shared" si="2"/>
        <v>0.74891774891774887</v>
      </c>
      <c r="AL8" s="7" t="str">
        <f t="shared" si="3"/>
        <v>C</v>
      </c>
      <c r="AM8" s="17">
        <v>0</v>
      </c>
      <c r="AN8" s="8"/>
      <c r="AO8" s="8"/>
      <c r="AP8" s="8"/>
    </row>
    <row r="9" spans="1:42" ht="22" customHeight="1">
      <c r="A9" s="38"/>
      <c r="B9" s="31"/>
      <c r="C9" s="31"/>
      <c r="D9" s="6"/>
      <c r="E9" s="18">
        <f t="shared" si="0"/>
        <v>0</v>
      </c>
      <c r="F9" s="18">
        <v>5</v>
      </c>
      <c r="G9" s="18">
        <v>6</v>
      </c>
      <c r="H9" s="18">
        <v>5</v>
      </c>
      <c r="I9" s="18">
        <v>38</v>
      </c>
      <c r="J9" s="17">
        <v>5</v>
      </c>
      <c r="K9" s="17">
        <v>5</v>
      </c>
      <c r="L9" s="17">
        <v>12</v>
      </c>
      <c r="M9" s="18">
        <v>2</v>
      </c>
      <c r="N9" s="18">
        <v>8</v>
      </c>
      <c r="O9" s="18">
        <v>6</v>
      </c>
      <c r="P9" s="18">
        <v>3</v>
      </c>
      <c r="Q9" s="18">
        <v>2</v>
      </c>
      <c r="R9" s="18">
        <v>3</v>
      </c>
      <c r="S9" s="17">
        <v>5</v>
      </c>
      <c r="T9" s="18">
        <v>4</v>
      </c>
      <c r="U9" s="18">
        <v>2</v>
      </c>
      <c r="V9" s="18">
        <v>4</v>
      </c>
      <c r="W9" s="17">
        <v>5</v>
      </c>
      <c r="X9" s="17">
        <v>5</v>
      </c>
      <c r="Y9" s="18">
        <v>70</v>
      </c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22">
        <f t="shared" si="1"/>
        <v>195</v>
      </c>
      <c r="AK9" s="20">
        <f t="shared" si="2"/>
        <v>0.8441558441558441</v>
      </c>
      <c r="AL9" s="7" t="str">
        <f t="shared" si="3"/>
        <v>B</v>
      </c>
      <c r="AM9" s="17">
        <v>0</v>
      </c>
      <c r="AN9" s="8"/>
      <c r="AO9" s="8"/>
      <c r="AP9" s="8"/>
    </row>
    <row r="10" spans="1:42" ht="22" customHeight="1">
      <c r="A10" s="38"/>
      <c r="B10" s="31"/>
      <c r="C10" s="31"/>
      <c r="D10" s="6"/>
      <c r="E10" s="18">
        <f t="shared" si="0"/>
        <v>0</v>
      </c>
      <c r="F10" s="17">
        <v>6</v>
      </c>
      <c r="G10" s="17">
        <v>6</v>
      </c>
      <c r="H10" s="17">
        <v>5</v>
      </c>
      <c r="I10" s="17">
        <v>36</v>
      </c>
      <c r="J10" s="17">
        <v>5</v>
      </c>
      <c r="K10" s="17">
        <v>5</v>
      </c>
      <c r="L10" s="17">
        <v>12</v>
      </c>
      <c r="M10" s="17">
        <v>2</v>
      </c>
      <c r="N10" s="17">
        <v>0</v>
      </c>
      <c r="O10" s="17">
        <v>6</v>
      </c>
      <c r="P10" s="17">
        <v>1</v>
      </c>
      <c r="Q10" s="17">
        <v>3</v>
      </c>
      <c r="R10" s="17">
        <v>2</v>
      </c>
      <c r="S10" s="17">
        <v>5</v>
      </c>
      <c r="T10" s="17">
        <v>4</v>
      </c>
      <c r="U10" s="17">
        <v>1</v>
      </c>
      <c r="V10" s="17">
        <v>3</v>
      </c>
      <c r="W10" s="17">
        <v>5</v>
      </c>
      <c r="X10" s="17">
        <v>5</v>
      </c>
      <c r="Y10" s="17">
        <v>92</v>
      </c>
      <c r="Z10" s="17"/>
      <c r="AA10" s="17"/>
      <c r="AB10" s="17"/>
      <c r="AC10" s="17"/>
      <c r="AD10" s="17"/>
      <c r="AE10" s="17"/>
      <c r="AF10" s="17"/>
      <c r="AG10" s="17"/>
      <c r="AH10" s="17"/>
      <c r="AI10" s="18"/>
      <c r="AJ10" s="22">
        <f t="shared" si="1"/>
        <v>204</v>
      </c>
      <c r="AK10" s="20">
        <f t="shared" si="2"/>
        <v>0.88311688311688308</v>
      </c>
      <c r="AL10" s="7" t="str">
        <f t="shared" si="3"/>
        <v>B</v>
      </c>
      <c r="AM10" s="17">
        <v>0</v>
      </c>
      <c r="AN10" s="8"/>
      <c r="AO10" s="8"/>
      <c r="AP10" s="8"/>
    </row>
    <row r="11" spans="1:42" ht="22" customHeight="1">
      <c r="A11" s="38"/>
      <c r="B11" s="31"/>
      <c r="C11" s="31"/>
      <c r="D11" s="6"/>
      <c r="E11" s="18">
        <f t="shared" si="0"/>
        <v>0</v>
      </c>
      <c r="F11" s="17">
        <v>6</v>
      </c>
      <c r="G11" s="17">
        <v>6</v>
      </c>
      <c r="H11" s="17">
        <v>5</v>
      </c>
      <c r="I11" s="17">
        <v>46</v>
      </c>
      <c r="J11" s="17">
        <v>5</v>
      </c>
      <c r="K11" s="17">
        <v>5</v>
      </c>
      <c r="L11" s="17">
        <v>12</v>
      </c>
      <c r="M11" s="17">
        <v>2</v>
      </c>
      <c r="N11" s="17">
        <v>10</v>
      </c>
      <c r="O11" s="17">
        <v>5</v>
      </c>
      <c r="P11" s="17">
        <v>3</v>
      </c>
      <c r="Q11" s="17">
        <v>3</v>
      </c>
      <c r="R11" s="17">
        <v>3</v>
      </c>
      <c r="S11" s="17">
        <v>5</v>
      </c>
      <c r="T11" s="17">
        <v>6</v>
      </c>
      <c r="U11" s="17">
        <v>1</v>
      </c>
      <c r="V11" s="17">
        <v>3</v>
      </c>
      <c r="W11" s="17">
        <v>5</v>
      </c>
      <c r="X11" s="17">
        <v>5</v>
      </c>
      <c r="Y11" s="17">
        <v>97</v>
      </c>
      <c r="Z11" s="17"/>
      <c r="AA11" s="17"/>
      <c r="AB11" s="17"/>
      <c r="AC11" s="17"/>
      <c r="AD11" s="17"/>
      <c r="AE11" s="17"/>
      <c r="AF11" s="17"/>
      <c r="AG11" s="17"/>
      <c r="AH11" s="17"/>
      <c r="AI11" s="18"/>
      <c r="AJ11" s="22">
        <f t="shared" si="1"/>
        <v>233</v>
      </c>
      <c r="AK11" s="20">
        <f t="shared" si="2"/>
        <v>1.0086580086580086</v>
      </c>
      <c r="AL11" s="7" t="str">
        <f t="shared" si="3"/>
        <v>A</v>
      </c>
      <c r="AM11" s="17">
        <v>0</v>
      </c>
      <c r="AN11" s="8"/>
      <c r="AO11" s="8"/>
      <c r="AP11" s="8"/>
    </row>
    <row r="12" spans="1:42" ht="22" customHeight="1">
      <c r="A12" s="38"/>
      <c r="B12" s="31"/>
      <c r="C12" s="31"/>
      <c r="D12" s="6"/>
      <c r="E12" s="18">
        <f t="shared" si="0"/>
        <v>0</v>
      </c>
      <c r="F12" s="17">
        <v>6</v>
      </c>
      <c r="G12" s="17">
        <v>5</v>
      </c>
      <c r="H12" s="17">
        <v>5</v>
      </c>
      <c r="I12" s="17">
        <v>38</v>
      </c>
      <c r="J12" s="17">
        <v>5</v>
      </c>
      <c r="K12" s="17">
        <v>5</v>
      </c>
      <c r="L12" s="17">
        <v>12</v>
      </c>
      <c r="M12" s="17">
        <v>2</v>
      </c>
      <c r="N12" s="17">
        <v>8</v>
      </c>
      <c r="O12" s="17">
        <v>6</v>
      </c>
      <c r="P12" s="17">
        <v>3</v>
      </c>
      <c r="Q12" s="17">
        <v>3</v>
      </c>
      <c r="R12" s="17">
        <v>3</v>
      </c>
      <c r="S12" s="17">
        <v>5</v>
      </c>
      <c r="T12" s="17">
        <v>6</v>
      </c>
      <c r="U12" s="17">
        <v>1</v>
      </c>
      <c r="V12" s="17">
        <v>3</v>
      </c>
      <c r="W12" s="17">
        <v>5</v>
      </c>
      <c r="X12" s="17">
        <v>5</v>
      </c>
      <c r="Y12" s="17">
        <v>80</v>
      </c>
      <c r="Z12" s="17"/>
      <c r="AA12" s="17"/>
      <c r="AB12" s="17"/>
      <c r="AC12" s="17"/>
      <c r="AD12" s="17"/>
      <c r="AE12" s="17"/>
      <c r="AF12" s="17"/>
      <c r="AG12" s="17"/>
      <c r="AH12" s="17"/>
      <c r="AI12" s="18"/>
      <c r="AJ12" s="22">
        <f t="shared" si="1"/>
        <v>206</v>
      </c>
      <c r="AK12" s="20">
        <f t="shared" si="2"/>
        <v>0.89177489177489178</v>
      </c>
      <c r="AL12" s="7" t="str">
        <f t="shared" si="3"/>
        <v>B</v>
      </c>
      <c r="AM12" s="17">
        <v>0</v>
      </c>
      <c r="AN12" s="8"/>
      <c r="AO12" s="8"/>
      <c r="AP12" s="8"/>
    </row>
    <row r="13" spans="1:42" ht="22" customHeight="1">
      <c r="A13" s="38"/>
      <c r="B13" s="31"/>
      <c r="C13" s="31"/>
      <c r="D13" s="6"/>
      <c r="E13" s="18">
        <f t="shared" si="0"/>
        <v>0</v>
      </c>
      <c r="F13" s="17">
        <v>5</v>
      </c>
      <c r="G13" s="17">
        <v>6</v>
      </c>
      <c r="H13" s="17">
        <v>5</v>
      </c>
      <c r="I13" s="17">
        <v>38</v>
      </c>
      <c r="J13" s="17">
        <v>5</v>
      </c>
      <c r="K13" s="17">
        <v>5</v>
      </c>
      <c r="L13" s="17">
        <v>11</v>
      </c>
      <c r="M13" s="17">
        <v>1</v>
      </c>
      <c r="N13" s="17">
        <v>8</v>
      </c>
      <c r="O13" s="17">
        <v>2</v>
      </c>
      <c r="P13" s="17">
        <v>1</v>
      </c>
      <c r="Q13" s="17">
        <v>1</v>
      </c>
      <c r="R13" s="17">
        <v>1</v>
      </c>
      <c r="S13" s="17">
        <v>5</v>
      </c>
      <c r="T13" s="17">
        <v>6</v>
      </c>
      <c r="U13" s="17">
        <v>1</v>
      </c>
      <c r="V13" s="17">
        <v>3</v>
      </c>
      <c r="W13" s="17">
        <v>5</v>
      </c>
      <c r="X13" s="17">
        <v>5</v>
      </c>
      <c r="Y13" s="17">
        <v>79</v>
      </c>
      <c r="Z13" s="17"/>
      <c r="AA13" s="17"/>
      <c r="AB13" s="17"/>
      <c r="AC13" s="17"/>
      <c r="AD13" s="17"/>
      <c r="AE13" s="17"/>
      <c r="AF13" s="17"/>
      <c r="AG13" s="17"/>
      <c r="AH13" s="17"/>
      <c r="AI13" s="18"/>
      <c r="AJ13" s="22">
        <f t="shared" si="1"/>
        <v>193</v>
      </c>
      <c r="AK13" s="20">
        <f t="shared" si="2"/>
        <v>0.83549783549783552</v>
      </c>
      <c r="AL13" s="7" t="str">
        <f t="shared" si="3"/>
        <v>B</v>
      </c>
      <c r="AM13" s="17">
        <v>0</v>
      </c>
      <c r="AN13" s="8"/>
      <c r="AO13" s="8"/>
      <c r="AP13" s="8"/>
    </row>
    <row r="14" spans="1:42" ht="22" customHeight="1">
      <c r="A14" s="38"/>
      <c r="B14" s="31"/>
      <c r="C14" s="31"/>
      <c r="D14" s="6"/>
      <c r="E14" s="18">
        <f t="shared" si="0"/>
        <v>0</v>
      </c>
      <c r="F14" s="17">
        <v>4</v>
      </c>
      <c r="G14" s="17">
        <v>6</v>
      </c>
      <c r="H14" s="17">
        <v>5</v>
      </c>
      <c r="I14" s="17">
        <v>36</v>
      </c>
      <c r="J14" s="17">
        <v>5</v>
      </c>
      <c r="K14" s="17">
        <v>5</v>
      </c>
      <c r="L14" s="17">
        <v>12</v>
      </c>
      <c r="M14" s="17">
        <v>2</v>
      </c>
      <c r="N14" s="17">
        <v>8</v>
      </c>
      <c r="O14" s="17">
        <v>6</v>
      </c>
      <c r="P14" s="17">
        <v>3</v>
      </c>
      <c r="Q14" s="17">
        <v>3</v>
      </c>
      <c r="R14" s="17">
        <v>3</v>
      </c>
      <c r="S14" s="17">
        <v>5</v>
      </c>
      <c r="T14" s="17">
        <v>6</v>
      </c>
      <c r="U14" s="17">
        <v>1</v>
      </c>
      <c r="V14" s="17">
        <v>3</v>
      </c>
      <c r="W14" s="17">
        <v>5</v>
      </c>
      <c r="X14" s="17">
        <v>5</v>
      </c>
      <c r="Y14" s="17">
        <v>88</v>
      </c>
      <c r="Z14" s="17"/>
      <c r="AA14" s="17"/>
      <c r="AB14" s="17"/>
      <c r="AC14" s="17"/>
      <c r="AD14" s="17"/>
      <c r="AE14" s="17"/>
      <c r="AF14" s="17"/>
      <c r="AG14" s="17"/>
      <c r="AH14" s="17"/>
      <c r="AI14" s="18"/>
      <c r="AJ14" s="22">
        <f t="shared" si="1"/>
        <v>211</v>
      </c>
      <c r="AK14" s="20">
        <f t="shared" si="2"/>
        <v>0.91341991341991347</v>
      </c>
      <c r="AL14" s="7" t="str">
        <f t="shared" si="3"/>
        <v>A</v>
      </c>
      <c r="AM14" s="17">
        <v>0</v>
      </c>
      <c r="AN14" s="8"/>
      <c r="AO14" s="8"/>
      <c r="AP14" s="8"/>
    </row>
    <row r="15" spans="1:42" s="2" customFormat="1" ht="22" customHeight="1">
      <c r="A15" s="38"/>
      <c r="B15" s="31"/>
      <c r="C15" s="31"/>
      <c r="D15" s="6"/>
      <c r="E15" s="18">
        <f t="shared" si="0"/>
        <v>0</v>
      </c>
      <c r="F15" s="17">
        <v>6</v>
      </c>
      <c r="G15" s="17">
        <v>6</v>
      </c>
      <c r="H15" s="17">
        <v>5</v>
      </c>
      <c r="I15" s="17">
        <v>44</v>
      </c>
      <c r="J15" s="17">
        <v>5</v>
      </c>
      <c r="K15" s="17">
        <v>5</v>
      </c>
      <c r="L15" s="17">
        <v>9</v>
      </c>
      <c r="M15" s="17">
        <v>2</v>
      </c>
      <c r="N15" s="17">
        <v>9</v>
      </c>
      <c r="O15" s="17">
        <v>6</v>
      </c>
      <c r="P15" s="17">
        <v>3</v>
      </c>
      <c r="Q15" s="17">
        <v>3</v>
      </c>
      <c r="R15" s="17">
        <v>3</v>
      </c>
      <c r="S15" s="17">
        <v>5</v>
      </c>
      <c r="T15" s="17">
        <v>6</v>
      </c>
      <c r="U15" s="17">
        <v>1</v>
      </c>
      <c r="V15" s="17">
        <v>3</v>
      </c>
      <c r="W15" s="17">
        <v>5</v>
      </c>
      <c r="X15" s="17">
        <v>5</v>
      </c>
      <c r="Y15" s="17">
        <v>77</v>
      </c>
      <c r="Z15" s="17"/>
      <c r="AA15" s="17"/>
      <c r="AB15" s="17"/>
      <c r="AC15" s="17"/>
      <c r="AD15" s="17"/>
      <c r="AE15" s="17"/>
      <c r="AF15" s="17"/>
      <c r="AG15" s="17"/>
      <c r="AH15" s="17"/>
      <c r="AI15" s="18"/>
      <c r="AJ15" s="22">
        <f t="shared" si="1"/>
        <v>208</v>
      </c>
      <c r="AK15" s="20">
        <f t="shared" si="2"/>
        <v>0.90043290043290047</v>
      </c>
      <c r="AL15" s="7" t="str">
        <f t="shared" si="3"/>
        <v>A</v>
      </c>
      <c r="AM15" s="17">
        <v>0</v>
      </c>
      <c r="AN15" s="7"/>
      <c r="AO15" s="7"/>
      <c r="AP15" s="7"/>
    </row>
    <row r="16" spans="1:42" s="2" customFormat="1" ht="22" customHeight="1">
      <c r="A16" s="38"/>
      <c r="B16" s="31"/>
      <c r="C16" s="31"/>
      <c r="D16" s="6"/>
      <c r="E16" s="18">
        <f t="shared" si="0"/>
        <v>0</v>
      </c>
      <c r="F16" s="17">
        <v>4</v>
      </c>
      <c r="G16" s="17">
        <v>6</v>
      </c>
      <c r="H16" s="17">
        <v>5</v>
      </c>
      <c r="I16" s="17">
        <v>29</v>
      </c>
      <c r="J16" s="17">
        <v>5</v>
      </c>
      <c r="K16" s="17">
        <v>5</v>
      </c>
      <c r="L16" s="17">
        <v>12</v>
      </c>
      <c r="M16" s="17">
        <v>2</v>
      </c>
      <c r="N16" s="17">
        <v>9</v>
      </c>
      <c r="O16" s="17">
        <v>5</v>
      </c>
      <c r="P16" s="17">
        <v>1</v>
      </c>
      <c r="Q16" s="17">
        <v>0</v>
      </c>
      <c r="R16" s="17">
        <v>0</v>
      </c>
      <c r="S16" s="17">
        <v>5</v>
      </c>
      <c r="T16" s="17">
        <v>5</v>
      </c>
      <c r="U16" s="17">
        <v>1</v>
      </c>
      <c r="V16" s="17">
        <v>3</v>
      </c>
      <c r="W16" s="17">
        <v>5</v>
      </c>
      <c r="X16" s="17">
        <v>5</v>
      </c>
      <c r="Y16" s="17">
        <v>70</v>
      </c>
      <c r="Z16" s="17"/>
      <c r="AA16" s="17"/>
      <c r="AB16" s="17"/>
      <c r="AC16" s="17"/>
      <c r="AD16" s="17"/>
      <c r="AE16" s="17"/>
      <c r="AF16" s="17"/>
      <c r="AG16" s="17"/>
      <c r="AH16" s="17"/>
      <c r="AI16" s="18"/>
      <c r="AJ16" s="22">
        <f t="shared" si="1"/>
        <v>177</v>
      </c>
      <c r="AK16" s="20">
        <f t="shared" si="2"/>
        <v>0.76623376623376627</v>
      </c>
      <c r="AL16" s="7" t="str">
        <f t="shared" si="3"/>
        <v>C</v>
      </c>
      <c r="AM16" s="17">
        <v>0</v>
      </c>
      <c r="AN16" s="7"/>
      <c r="AO16" s="7"/>
      <c r="AP16" s="7"/>
    </row>
    <row r="17" spans="1:42" ht="22" customHeight="1">
      <c r="A17" s="38"/>
      <c r="B17" s="31"/>
      <c r="C17" s="31"/>
      <c r="D17" s="6"/>
      <c r="E17" s="18">
        <f t="shared" si="0"/>
        <v>0</v>
      </c>
      <c r="F17" s="17">
        <v>5</v>
      </c>
      <c r="G17" s="17">
        <v>6</v>
      </c>
      <c r="H17" s="17">
        <v>5</v>
      </c>
      <c r="I17" s="17">
        <v>45</v>
      </c>
      <c r="J17" s="17">
        <v>5</v>
      </c>
      <c r="K17" s="17">
        <v>5</v>
      </c>
      <c r="L17" s="17">
        <v>11</v>
      </c>
      <c r="M17" s="17">
        <v>0</v>
      </c>
      <c r="N17" s="17">
        <v>8</v>
      </c>
      <c r="O17" s="17">
        <v>0</v>
      </c>
      <c r="P17" s="17">
        <v>0</v>
      </c>
      <c r="Q17" s="17">
        <v>0</v>
      </c>
      <c r="R17" s="17">
        <v>0</v>
      </c>
      <c r="S17" s="17">
        <v>5</v>
      </c>
      <c r="T17" s="17">
        <v>0</v>
      </c>
      <c r="U17" s="17">
        <v>0</v>
      </c>
      <c r="V17" s="17">
        <v>0</v>
      </c>
      <c r="W17" s="17">
        <v>5</v>
      </c>
      <c r="X17" s="17">
        <v>5</v>
      </c>
      <c r="Y17" s="17">
        <v>91</v>
      </c>
      <c r="Z17" s="17"/>
      <c r="AA17" s="17"/>
      <c r="AB17" s="17"/>
      <c r="AC17" s="17"/>
      <c r="AD17" s="17"/>
      <c r="AE17" s="17"/>
      <c r="AF17" s="17"/>
      <c r="AG17" s="17"/>
      <c r="AH17" s="17"/>
      <c r="AI17" s="18"/>
      <c r="AJ17" s="22">
        <f t="shared" si="1"/>
        <v>196</v>
      </c>
      <c r="AK17" s="20">
        <f t="shared" si="2"/>
        <v>0.84848484848484851</v>
      </c>
      <c r="AL17" s="7" t="str">
        <f t="shared" si="3"/>
        <v>B</v>
      </c>
      <c r="AM17" s="17">
        <v>0</v>
      </c>
      <c r="AN17" s="8"/>
      <c r="AO17" s="8"/>
      <c r="AP17" s="8"/>
    </row>
    <row r="18" spans="1:42" ht="22" customHeight="1">
      <c r="A18" s="38"/>
      <c r="B18" s="31"/>
      <c r="C18" s="31"/>
      <c r="D18" s="6"/>
      <c r="E18" s="18">
        <f t="shared" si="0"/>
        <v>0</v>
      </c>
      <c r="F18" s="17">
        <v>6</v>
      </c>
      <c r="G18" s="17">
        <v>6</v>
      </c>
      <c r="H18" s="17">
        <v>5</v>
      </c>
      <c r="I18" s="17">
        <v>45</v>
      </c>
      <c r="J18" s="17">
        <v>5</v>
      </c>
      <c r="K18" s="17">
        <v>5</v>
      </c>
      <c r="L18" s="17">
        <v>0</v>
      </c>
      <c r="M18" s="17">
        <v>1</v>
      </c>
      <c r="N18" s="17">
        <v>0</v>
      </c>
      <c r="O18" s="17">
        <v>5</v>
      </c>
      <c r="P18" s="17">
        <v>3</v>
      </c>
      <c r="Q18" s="17">
        <v>3</v>
      </c>
      <c r="R18" s="17">
        <v>2</v>
      </c>
      <c r="S18" s="17">
        <v>5</v>
      </c>
      <c r="T18" s="17">
        <v>0</v>
      </c>
      <c r="U18" s="17">
        <v>2</v>
      </c>
      <c r="V18" s="17">
        <v>3</v>
      </c>
      <c r="W18" s="17">
        <v>5</v>
      </c>
      <c r="X18" s="17">
        <v>5</v>
      </c>
      <c r="Y18" s="17">
        <v>54</v>
      </c>
      <c r="Z18" s="17"/>
      <c r="AA18" s="17"/>
      <c r="AB18" s="17"/>
      <c r="AC18" s="17"/>
      <c r="AD18" s="17"/>
      <c r="AE18" s="17"/>
      <c r="AF18" s="17"/>
      <c r="AG18" s="17"/>
      <c r="AH18" s="17"/>
      <c r="AI18" s="18"/>
      <c r="AJ18" s="22">
        <f t="shared" si="1"/>
        <v>160</v>
      </c>
      <c r="AK18" s="20">
        <f t="shared" si="2"/>
        <v>0.69264069264069261</v>
      </c>
      <c r="AL18" s="7" t="str">
        <f t="shared" si="3"/>
        <v>D</v>
      </c>
      <c r="AM18" s="17">
        <v>0</v>
      </c>
      <c r="AN18" s="8"/>
      <c r="AO18" s="8"/>
      <c r="AP18" s="8"/>
    </row>
    <row r="19" spans="1:42" ht="22" customHeight="1">
      <c r="A19" s="38"/>
      <c r="B19" s="31"/>
      <c r="C19" s="31"/>
      <c r="D19" s="6"/>
      <c r="E19" s="18">
        <f t="shared" si="0"/>
        <v>0</v>
      </c>
      <c r="F19" s="18">
        <v>6</v>
      </c>
      <c r="G19" s="18">
        <v>6</v>
      </c>
      <c r="H19" s="18">
        <v>5</v>
      </c>
      <c r="I19" s="18">
        <v>28</v>
      </c>
      <c r="J19" s="17">
        <v>5</v>
      </c>
      <c r="K19" s="17">
        <v>5</v>
      </c>
      <c r="L19" s="17">
        <v>12</v>
      </c>
      <c r="M19" s="18">
        <v>2</v>
      </c>
      <c r="N19" s="18">
        <v>8</v>
      </c>
      <c r="O19" s="18">
        <v>2</v>
      </c>
      <c r="P19" s="18">
        <v>0</v>
      </c>
      <c r="Q19" s="18">
        <v>0</v>
      </c>
      <c r="R19" s="18">
        <v>2</v>
      </c>
      <c r="S19" s="17">
        <v>5</v>
      </c>
      <c r="T19" s="18">
        <v>5</v>
      </c>
      <c r="U19" s="18">
        <v>2</v>
      </c>
      <c r="V19" s="18">
        <v>3</v>
      </c>
      <c r="W19" s="17">
        <v>5</v>
      </c>
      <c r="X19" s="17">
        <v>5</v>
      </c>
      <c r="Y19" s="18">
        <v>79</v>
      </c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22">
        <f t="shared" si="1"/>
        <v>185</v>
      </c>
      <c r="AK19" s="20">
        <f t="shared" si="2"/>
        <v>0.80086580086580084</v>
      </c>
      <c r="AL19" s="7" t="str">
        <f t="shared" si="3"/>
        <v>B</v>
      </c>
      <c r="AM19" s="17">
        <v>0</v>
      </c>
      <c r="AN19" s="8"/>
      <c r="AO19" s="8"/>
      <c r="AP19" s="8"/>
    </row>
    <row r="20" spans="1:42" ht="22" customHeight="1">
      <c r="A20" s="38"/>
      <c r="B20" s="31"/>
      <c r="C20" s="31"/>
      <c r="D20" s="6"/>
      <c r="E20" s="18">
        <f t="shared" si="0"/>
        <v>0</v>
      </c>
      <c r="F20" s="17">
        <v>5</v>
      </c>
      <c r="G20" s="17">
        <v>6</v>
      </c>
      <c r="H20" s="17">
        <v>5</v>
      </c>
      <c r="I20" s="17">
        <v>41</v>
      </c>
      <c r="J20" s="17">
        <v>5</v>
      </c>
      <c r="K20" s="17">
        <v>5</v>
      </c>
      <c r="L20" s="17">
        <v>9</v>
      </c>
      <c r="M20" s="17">
        <v>1</v>
      </c>
      <c r="N20" s="17">
        <v>9</v>
      </c>
      <c r="O20" s="17">
        <v>6</v>
      </c>
      <c r="P20" s="17">
        <v>3</v>
      </c>
      <c r="Q20" s="17">
        <v>3</v>
      </c>
      <c r="R20" s="17">
        <v>3</v>
      </c>
      <c r="S20" s="17">
        <v>5</v>
      </c>
      <c r="T20" s="17">
        <v>6</v>
      </c>
      <c r="U20" s="17">
        <v>2</v>
      </c>
      <c r="V20" s="17">
        <v>3</v>
      </c>
      <c r="W20" s="17">
        <v>5</v>
      </c>
      <c r="X20" s="17">
        <v>5</v>
      </c>
      <c r="Y20" s="17">
        <v>90</v>
      </c>
      <c r="Z20" s="17"/>
      <c r="AA20" s="17"/>
      <c r="AB20" s="17"/>
      <c r="AC20" s="17"/>
      <c r="AD20" s="17"/>
      <c r="AE20" s="17"/>
      <c r="AF20" s="17"/>
      <c r="AG20" s="17"/>
      <c r="AH20" s="17"/>
      <c r="AI20" s="18"/>
      <c r="AJ20" s="22">
        <f t="shared" si="1"/>
        <v>217</v>
      </c>
      <c r="AK20" s="20">
        <f t="shared" si="2"/>
        <v>0.93939393939393945</v>
      </c>
      <c r="AL20" s="7" t="str">
        <f t="shared" si="3"/>
        <v>A</v>
      </c>
      <c r="AM20" s="17">
        <v>0</v>
      </c>
      <c r="AN20" s="8"/>
      <c r="AO20" s="8"/>
      <c r="AP20" s="8"/>
    </row>
    <row r="21" spans="1:42" ht="22" customHeight="1">
      <c r="A21" s="38"/>
      <c r="B21" s="31"/>
      <c r="C21" s="31"/>
      <c r="D21" s="6"/>
      <c r="E21" s="18">
        <f t="shared" si="0"/>
        <v>0</v>
      </c>
      <c r="F21" s="18">
        <v>4</v>
      </c>
      <c r="G21" s="18">
        <v>5</v>
      </c>
      <c r="H21" s="18">
        <v>4</v>
      </c>
      <c r="I21" s="18">
        <v>42</v>
      </c>
      <c r="J21" s="17">
        <v>5</v>
      </c>
      <c r="K21" s="17">
        <v>5</v>
      </c>
      <c r="L21" s="17">
        <v>11</v>
      </c>
      <c r="M21" s="18">
        <v>2</v>
      </c>
      <c r="N21" s="18">
        <v>8</v>
      </c>
      <c r="O21" s="18">
        <v>5</v>
      </c>
      <c r="P21" s="18">
        <v>1</v>
      </c>
      <c r="Q21" s="18">
        <v>3</v>
      </c>
      <c r="R21" s="18">
        <v>2</v>
      </c>
      <c r="S21" s="17">
        <v>0</v>
      </c>
      <c r="T21" s="18">
        <v>0</v>
      </c>
      <c r="U21" s="18">
        <v>2</v>
      </c>
      <c r="V21" s="18">
        <v>4</v>
      </c>
      <c r="W21" s="17">
        <v>5</v>
      </c>
      <c r="X21" s="17">
        <v>5</v>
      </c>
      <c r="Y21" s="18">
        <v>77</v>
      </c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22">
        <f t="shared" si="1"/>
        <v>190</v>
      </c>
      <c r="AK21" s="20">
        <f t="shared" si="2"/>
        <v>0.82251082251082253</v>
      </c>
      <c r="AL21" s="7" t="str">
        <f t="shared" si="3"/>
        <v>B</v>
      </c>
      <c r="AM21" s="17">
        <v>0</v>
      </c>
      <c r="AN21" s="8"/>
      <c r="AO21" s="8"/>
      <c r="AP21" s="8"/>
    </row>
    <row r="22" spans="1:42" ht="22" customHeight="1">
      <c r="A22" s="38"/>
      <c r="B22" s="31"/>
      <c r="C22" s="31"/>
      <c r="D22" s="6"/>
      <c r="E22" s="18">
        <f t="shared" si="0"/>
        <v>0</v>
      </c>
      <c r="F22" s="17">
        <v>5</v>
      </c>
      <c r="G22" s="17">
        <v>6</v>
      </c>
      <c r="H22" s="17">
        <v>5</v>
      </c>
      <c r="I22" s="17">
        <v>20</v>
      </c>
      <c r="J22" s="17">
        <v>5</v>
      </c>
      <c r="K22" s="17">
        <v>5</v>
      </c>
      <c r="L22" s="17">
        <v>12</v>
      </c>
      <c r="M22" s="17">
        <v>2</v>
      </c>
      <c r="N22" s="17">
        <v>10</v>
      </c>
      <c r="O22" s="17">
        <v>3</v>
      </c>
      <c r="P22" s="17">
        <v>0</v>
      </c>
      <c r="Q22" s="17">
        <v>0</v>
      </c>
      <c r="R22" s="17">
        <v>0</v>
      </c>
      <c r="S22" s="17">
        <v>5</v>
      </c>
      <c r="T22" s="17">
        <v>5</v>
      </c>
      <c r="U22" s="17">
        <v>0</v>
      </c>
      <c r="V22" s="17">
        <v>4</v>
      </c>
      <c r="W22" s="17">
        <v>5</v>
      </c>
      <c r="X22" s="17">
        <v>5</v>
      </c>
      <c r="Y22" s="17">
        <v>57</v>
      </c>
      <c r="Z22" s="17"/>
      <c r="AA22" s="17"/>
      <c r="AB22" s="17"/>
      <c r="AC22" s="17"/>
      <c r="AD22" s="17"/>
      <c r="AE22" s="17"/>
      <c r="AF22" s="17"/>
      <c r="AG22" s="17"/>
      <c r="AH22" s="17"/>
      <c r="AI22" s="18"/>
      <c r="AJ22" s="22">
        <f t="shared" si="1"/>
        <v>154</v>
      </c>
      <c r="AK22" s="20">
        <f t="shared" si="2"/>
        <v>0.66666666666666663</v>
      </c>
      <c r="AL22" s="7" t="str">
        <f t="shared" si="3"/>
        <v>D</v>
      </c>
      <c r="AM22" s="17">
        <v>0</v>
      </c>
      <c r="AN22" s="8"/>
      <c r="AO22" s="8"/>
      <c r="AP22" s="8"/>
    </row>
    <row r="23" spans="1:42" ht="22" customHeight="1">
      <c r="A23" s="38"/>
      <c r="B23" s="31"/>
      <c r="C23" s="31"/>
      <c r="D23" s="6"/>
      <c r="E23" s="18">
        <f t="shared" si="0"/>
        <v>0</v>
      </c>
      <c r="F23" s="17">
        <v>0</v>
      </c>
      <c r="G23" s="17">
        <v>0</v>
      </c>
      <c r="H23" s="17">
        <v>0</v>
      </c>
      <c r="I23" s="17">
        <v>35</v>
      </c>
      <c r="J23" s="17">
        <v>5</v>
      </c>
      <c r="K23" s="17">
        <v>5</v>
      </c>
      <c r="L23" s="17">
        <v>10</v>
      </c>
      <c r="M23" s="17">
        <v>1</v>
      </c>
      <c r="N23" s="17">
        <v>9</v>
      </c>
      <c r="O23" s="17">
        <v>2</v>
      </c>
      <c r="P23" s="17">
        <v>0</v>
      </c>
      <c r="Q23" s="17">
        <v>0</v>
      </c>
      <c r="R23" s="17">
        <v>0</v>
      </c>
      <c r="S23" s="17">
        <v>5</v>
      </c>
      <c r="T23" s="17">
        <v>2</v>
      </c>
      <c r="U23" s="17">
        <v>2</v>
      </c>
      <c r="V23" s="17">
        <v>4</v>
      </c>
      <c r="W23" s="17">
        <v>5</v>
      </c>
      <c r="X23" s="17">
        <v>5</v>
      </c>
      <c r="Y23" s="17">
        <v>54</v>
      </c>
      <c r="Z23" s="17"/>
      <c r="AA23" s="17"/>
      <c r="AB23" s="17"/>
      <c r="AC23" s="17"/>
      <c r="AD23" s="17"/>
      <c r="AE23" s="17"/>
      <c r="AF23" s="17"/>
      <c r="AG23" s="17"/>
      <c r="AH23" s="17"/>
      <c r="AI23" s="18"/>
      <c r="AJ23" s="22">
        <f t="shared" si="1"/>
        <v>144</v>
      </c>
      <c r="AK23" s="20">
        <f t="shared" si="2"/>
        <v>0.62337662337662336</v>
      </c>
      <c r="AL23" s="7" t="str">
        <f t="shared" si="3"/>
        <v>D</v>
      </c>
      <c r="AM23" s="17">
        <v>0</v>
      </c>
      <c r="AN23" s="8"/>
      <c r="AO23" s="8"/>
      <c r="AP23" s="8"/>
    </row>
    <row r="24" spans="1:42" ht="22" customHeight="1">
      <c r="A24" s="38"/>
      <c r="B24" s="31"/>
      <c r="C24" s="31"/>
      <c r="D24" s="6"/>
      <c r="E24" s="18">
        <f t="shared" si="0"/>
        <v>0</v>
      </c>
      <c r="F24" s="17">
        <v>6</v>
      </c>
      <c r="G24" s="17">
        <v>6</v>
      </c>
      <c r="H24" s="17">
        <v>5</v>
      </c>
      <c r="I24" s="17">
        <v>45</v>
      </c>
      <c r="J24" s="17">
        <v>5</v>
      </c>
      <c r="K24" s="17">
        <v>5</v>
      </c>
      <c r="L24" s="17">
        <v>12</v>
      </c>
      <c r="M24" s="17">
        <v>2</v>
      </c>
      <c r="N24" s="17">
        <v>9</v>
      </c>
      <c r="O24" s="17">
        <v>4</v>
      </c>
      <c r="P24" s="17">
        <v>3</v>
      </c>
      <c r="Q24" s="17">
        <v>3</v>
      </c>
      <c r="R24" s="17">
        <v>3</v>
      </c>
      <c r="S24" s="17">
        <v>5</v>
      </c>
      <c r="T24" s="17">
        <v>5</v>
      </c>
      <c r="U24" s="17">
        <v>2</v>
      </c>
      <c r="V24" s="17">
        <v>4</v>
      </c>
      <c r="W24" s="17">
        <v>5</v>
      </c>
      <c r="X24" s="17">
        <v>5</v>
      </c>
      <c r="Y24" s="17">
        <v>97</v>
      </c>
      <c r="Z24" s="17"/>
      <c r="AA24" s="17"/>
      <c r="AB24" s="17"/>
      <c r="AC24" s="17"/>
      <c r="AD24" s="17"/>
      <c r="AE24" s="17"/>
      <c r="AF24" s="17"/>
      <c r="AG24" s="17"/>
      <c r="AH24" s="17"/>
      <c r="AI24" s="18"/>
      <c r="AJ24" s="22">
        <f t="shared" si="1"/>
        <v>231</v>
      </c>
      <c r="AK24" s="20">
        <f t="shared" si="2"/>
        <v>1</v>
      </c>
      <c r="AL24" s="7" t="str">
        <f t="shared" si="3"/>
        <v>A</v>
      </c>
      <c r="AM24" s="17">
        <v>0</v>
      </c>
      <c r="AN24" s="8"/>
      <c r="AO24" s="8"/>
      <c r="AP24" s="8"/>
    </row>
    <row r="25" spans="1:42" ht="22" customHeight="1">
      <c r="A25" s="2"/>
      <c r="B25" s="4"/>
      <c r="C25" s="5"/>
      <c r="D25" s="37"/>
      <c r="E25" s="18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8"/>
      <c r="AJ25" s="22"/>
      <c r="AK25" s="20"/>
      <c r="AL25" s="7"/>
      <c r="AM25" s="8"/>
      <c r="AN25" s="8"/>
      <c r="AO25" s="8"/>
      <c r="AP25" s="8"/>
    </row>
    <row r="26" spans="1:42">
      <c r="A26" s="13"/>
      <c r="B26" s="16" t="s">
        <v>14</v>
      </c>
      <c r="C26" s="13"/>
      <c r="D26" s="6"/>
      <c r="E26" s="13"/>
      <c r="F26" s="13">
        <v>6</v>
      </c>
      <c r="G26" s="13">
        <v>6</v>
      </c>
      <c r="H26" s="13">
        <v>5</v>
      </c>
      <c r="I26" s="13">
        <v>40</v>
      </c>
      <c r="J26" s="13">
        <v>5</v>
      </c>
      <c r="K26" s="13">
        <v>5</v>
      </c>
      <c r="L26" s="13">
        <v>12</v>
      </c>
      <c r="M26" s="13">
        <v>2</v>
      </c>
      <c r="N26" s="13">
        <v>10</v>
      </c>
      <c r="O26" s="13">
        <v>6</v>
      </c>
      <c r="P26" s="13">
        <v>3</v>
      </c>
      <c r="Q26" s="13">
        <v>3</v>
      </c>
      <c r="R26" s="13">
        <v>3</v>
      </c>
      <c r="S26" s="13">
        <v>5</v>
      </c>
      <c r="T26" s="13">
        <v>6</v>
      </c>
      <c r="U26" s="13">
        <v>0</v>
      </c>
      <c r="V26" s="13">
        <v>4</v>
      </c>
      <c r="W26" s="13">
        <v>5</v>
      </c>
      <c r="X26" s="13">
        <v>5</v>
      </c>
      <c r="Y26" s="13">
        <v>100</v>
      </c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23">
        <f t="shared" ref="AJ26" si="4">SUM(F26:AI26)</f>
        <v>231</v>
      </c>
      <c r="AK26" s="14">
        <v>1</v>
      </c>
      <c r="AL26" s="13"/>
    </row>
    <row r="27" spans="1:42">
      <c r="D27" s="6"/>
    </row>
    <row r="28" spans="1:42">
      <c r="B28" s="19" t="s">
        <v>19</v>
      </c>
      <c r="D28" s="19" t="s">
        <v>19</v>
      </c>
      <c r="F28" s="8">
        <f t="shared" ref="F28:AK28" si="5">AVERAGE(F2:F25)</f>
        <v>4.6521739130434785</v>
      </c>
      <c r="G28" s="8">
        <f t="shared" si="5"/>
        <v>5.6086956521739131</v>
      </c>
      <c r="H28" s="8">
        <f t="shared" si="5"/>
        <v>4.6956521739130439</v>
      </c>
      <c r="I28" s="8">
        <f t="shared" si="5"/>
        <v>37.521739130434781</v>
      </c>
      <c r="J28" s="8">
        <f t="shared" si="5"/>
        <v>5</v>
      </c>
      <c r="K28" s="8">
        <f t="shared" si="5"/>
        <v>5</v>
      </c>
      <c r="L28" s="8">
        <f t="shared" si="5"/>
        <v>10.782608695652174</v>
      </c>
      <c r="M28" s="8">
        <f t="shared" si="5"/>
        <v>1.5652173913043479</v>
      </c>
      <c r="N28" s="8">
        <f t="shared" si="5"/>
        <v>8.0434782608695645</v>
      </c>
      <c r="O28" s="8">
        <f t="shared" si="5"/>
        <v>4.3478260869565215</v>
      </c>
      <c r="P28" s="8">
        <f t="shared" si="5"/>
        <v>1.9130434782608696</v>
      </c>
      <c r="Q28" s="8">
        <f t="shared" si="5"/>
        <v>2.1304347826086958</v>
      </c>
      <c r="R28" s="8">
        <f t="shared" si="5"/>
        <v>2.1304347826086958</v>
      </c>
      <c r="S28" s="8">
        <f t="shared" si="5"/>
        <v>4.7826086956521738</v>
      </c>
      <c r="T28" s="8">
        <f t="shared" si="5"/>
        <v>4.2608695652173916</v>
      </c>
      <c r="U28" s="8">
        <f t="shared" si="5"/>
        <v>1.4347826086956521</v>
      </c>
      <c r="V28" s="8">
        <f t="shared" si="5"/>
        <v>3.2173913043478262</v>
      </c>
      <c r="W28" s="8">
        <f>AVERAGE(W2:W26)</f>
        <v>5</v>
      </c>
      <c r="X28" s="8">
        <f>AVERAGE(X2:X26)</f>
        <v>5</v>
      </c>
      <c r="Y28" s="8">
        <f>AVERAGE(Y2:Y26)</f>
        <v>80.375</v>
      </c>
      <c r="Z28" s="8" t="e">
        <f t="shared" si="5"/>
        <v>#DIV/0!</v>
      </c>
      <c r="AA28" s="8" t="e">
        <f t="shared" si="5"/>
        <v>#DIV/0!</v>
      </c>
      <c r="AB28" s="8" t="e">
        <f t="shared" si="5"/>
        <v>#DIV/0!</v>
      </c>
      <c r="AC28" s="8" t="e">
        <f t="shared" si="5"/>
        <v>#DIV/0!</v>
      </c>
      <c r="AD28" s="8" t="e">
        <f t="shared" si="5"/>
        <v>#DIV/0!</v>
      </c>
      <c r="AE28" s="8" t="e">
        <f t="shared" si="5"/>
        <v>#DIV/0!</v>
      </c>
      <c r="AF28" s="8" t="e">
        <f t="shared" si="5"/>
        <v>#DIV/0!</v>
      </c>
      <c r="AG28" s="8" t="e">
        <f t="shared" si="5"/>
        <v>#DIV/0!</v>
      </c>
      <c r="AH28" s="8" t="e">
        <f t="shared" si="5"/>
        <v>#DIV/0!</v>
      </c>
      <c r="AI28" s="8" t="e">
        <f t="shared" si="5"/>
        <v>#DIV/0!</v>
      </c>
      <c r="AJ28" s="8">
        <f t="shared" si="5"/>
        <v>196.60869565217391</v>
      </c>
      <c r="AK28" s="9">
        <f t="shared" si="5"/>
        <v>0.8511198945981554</v>
      </c>
    </row>
    <row r="29" spans="1:42">
      <c r="B29" s="19" t="s">
        <v>20</v>
      </c>
      <c r="D29" s="19" t="s">
        <v>20</v>
      </c>
      <c r="F29" s="8">
        <f t="shared" ref="F29:AK29" si="6">_xlfn.STDEV.S(F2:F25)</f>
        <v>1.6406399985198101</v>
      </c>
      <c r="G29" s="8">
        <f t="shared" si="6"/>
        <v>1.2699008706760835</v>
      </c>
      <c r="H29" s="8">
        <f t="shared" si="6"/>
        <v>1.0632190661423901</v>
      </c>
      <c r="I29" s="8">
        <f t="shared" si="6"/>
        <v>7.0894900779405461</v>
      </c>
      <c r="J29" s="8">
        <f t="shared" si="6"/>
        <v>0</v>
      </c>
      <c r="K29" s="8">
        <f t="shared" si="6"/>
        <v>0</v>
      </c>
      <c r="L29" s="8">
        <f t="shared" si="6"/>
        <v>2.5576360132521967</v>
      </c>
      <c r="M29" s="8">
        <f t="shared" si="6"/>
        <v>0.58976782461958843</v>
      </c>
      <c r="N29" s="8">
        <f t="shared" si="6"/>
        <v>2.6367724911263157</v>
      </c>
      <c r="O29" s="8">
        <f t="shared" si="6"/>
        <v>2.0362330562311715</v>
      </c>
      <c r="P29" s="8">
        <f t="shared" si="6"/>
        <v>1.2399795994751786</v>
      </c>
      <c r="Q29" s="8">
        <f t="shared" si="6"/>
        <v>1.2542418146610599</v>
      </c>
      <c r="R29" s="8">
        <f t="shared" si="6"/>
        <v>1.1403487435504087</v>
      </c>
      <c r="S29" s="8">
        <f t="shared" si="6"/>
        <v>1.0425720702853738</v>
      </c>
      <c r="T29" s="8">
        <f t="shared" si="6"/>
        <v>2.1995328285869298</v>
      </c>
      <c r="U29" s="8">
        <f t="shared" si="6"/>
        <v>0.72776663070980629</v>
      </c>
      <c r="V29" s="8">
        <f t="shared" si="6"/>
        <v>1.1263989983825946</v>
      </c>
      <c r="W29" s="8">
        <f t="shared" si="6"/>
        <v>0</v>
      </c>
      <c r="X29" s="8">
        <f t="shared" si="6"/>
        <v>0</v>
      </c>
      <c r="Y29" s="8">
        <f t="shared" si="6"/>
        <v>12.723884359800708</v>
      </c>
      <c r="Z29" s="8" t="e">
        <f t="shared" si="6"/>
        <v>#DIV/0!</v>
      </c>
      <c r="AA29" s="8" t="e">
        <f t="shared" si="6"/>
        <v>#DIV/0!</v>
      </c>
      <c r="AB29" s="8" t="e">
        <f t="shared" si="6"/>
        <v>#DIV/0!</v>
      </c>
      <c r="AC29" s="8" t="e">
        <f t="shared" si="6"/>
        <v>#DIV/0!</v>
      </c>
      <c r="AD29" s="8" t="e">
        <f t="shared" si="6"/>
        <v>#DIV/0!</v>
      </c>
      <c r="AE29" s="8" t="e">
        <f t="shared" si="6"/>
        <v>#DIV/0!</v>
      </c>
      <c r="AF29" s="8" t="e">
        <f t="shared" si="6"/>
        <v>#DIV/0!</v>
      </c>
      <c r="AG29" s="8" t="e">
        <f t="shared" si="6"/>
        <v>#DIV/0!</v>
      </c>
      <c r="AH29" s="8" t="e">
        <f t="shared" si="6"/>
        <v>#DIV/0!</v>
      </c>
      <c r="AI29" s="8" t="e">
        <f t="shared" si="6"/>
        <v>#DIV/0!</v>
      </c>
      <c r="AJ29" s="8">
        <f t="shared" si="6"/>
        <v>23.586859073403861</v>
      </c>
      <c r="AK29" s="9">
        <f t="shared" si="6"/>
        <v>0.10210761503638165</v>
      </c>
    </row>
    <row r="30" spans="1:42">
      <c r="B30" s="28" t="s">
        <v>18</v>
      </c>
      <c r="C30" s="2"/>
      <c r="D30" s="19" t="s">
        <v>18</v>
      </c>
      <c r="E30" s="2"/>
      <c r="F30" s="7">
        <f t="shared" ref="F30:AK30" si="7">MEDIAN(F2:F25)</f>
        <v>5</v>
      </c>
      <c r="G30" s="7">
        <f t="shared" si="7"/>
        <v>6</v>
      </c>
      <c r="H30" s="7">
        <f t="shared" si="7"/>
        <v>5</v>
      </c>
      <c r="I30" s="7">
        <f t="shared" si="7"/>
        <v>38</v>
      </c>
      <c r="J30" s="7">
        <f t="shared" si="7"/>
        <v>5</v>
      </c>
      <c r="K30" s="7">
        <f t="shared" si="7"/>
        <v>5</v>
      </c>
      <c r="L30" s="7">
        <f t="shared" si="7"/>
        <v>12</v>
      </c>
      <c r="M30" s="7">
        <f t="shared" si="7"/>
        <v>2</v>
      </c>
      <c r="N30" s="7">
        <f t="shared" si="7"/>
        <v>9</v>
      </c>
      <c r="O30" s="7">
        <f t="shared" si="7"/>
        <v>5</v>
      </c>
      <c r="P30" s="7">
        <f t="shared" si="7"/>
        <v>3</v>
      </c>
      <c r="Q30" s="7">
        <f t="shared" si="7"/>
        <v>3</v>
      </c>
      <c r="R30" s="7">
        <f t="shared" si="7"/>
        <v>3</v>
      </c>
      <c r="S30" s="7">
        <f t="shared" si="7"/>
        <v>5</v>
      </c>
      <c r="T30" s="7">
        <f t="shared" si="7"/>
        <v>5</v>
      </c>
      <c r="U30" s="7">
        <f t="shared" si="7"/>
        <v>2</v>
      </c>
      <c r="V30" s="7">
        <f t="shared" si="7"/>
        <v>3</v>
      </c>
      <c r="W30" s="7">
        <f t="shared" si="7"/>
        <v>5</v>
      </c>
      <c r="X30" s="7">
        <f t="shared" si="7"/>
        <v>5</v>
      </c>
      <c r="Y30" s="7">
        <f t="shared" si="7"/>
        <v>80</v>
      </c>
      <c r="Z30" s="7" t="e">
        <f t="shared" si="7"/>
        <v>#NUM!</v>
      </c>
      <c r="AA30" s="7" t="e">
        <f t="shared" si="7"/>
        <v>#NUM!</v>
      </c>
      <c r="AB30" s="7" t="e">
        <f t="shared" si="7"/>
        <v>#NUM!</v>
      </c>
      <c r="AC30" s="7" t="e">
        <f t="shared" si="7"/>
        <v>#NUM!</v>
      </c>
      <c r="AD30" s="7" t="e">
        <f t="shared" si="7"/>
        <v>#NUM!</v>
      </c>
      <c r="AE30" s="7" t="e">
        <f t="shared" si="7"/>
        <v>#NUM!</v>
      </c>
      <c r="AF30" s="7" t="e">
        <f t="shared" si="7"/>
        <v>#NUM!</v>
      </c>
      <c r="AG30" s="7" t="e">
        <f t="shared" si="7"/>
        <v>#NUM!</v>
      </c>
      <c r="AH30" s="7" t="e">
        <f t="shared" si="7"/>
        <v>#NUM!</v>
      </c>
      <c r="AI30" s="7" t="e">
        <f t="shared" si="7"/>
        <v>#NUM!</v>
      </c>
      <c r="AJ30" s="7">
        <f t="shared" si="7"/>
        <v>196</v>
      </c>
      <c r="AK30" s="29">
        <f t="shared" si="7"/>
        <v>0.84848484848484851</v>
      </c>
    </row>
    <row r="31" spans="1:42">
      <c r="B31" s="19" t="s">
        <v>21</v>
      </c>
      <c r="D31" s="28" t="s">
        <v>24</v>
      </c>
      <c r="F31" s="8">
        <f t="array" ref="F31">MEDIAN(ABS(F2:F25-F$30))</f>
        <v>1</v>
      </c>
      <c r="G31" s="8">
        <f t="array" ref="G31">MEDIAN(ABS(G2:G25-G$30))</f>
        <v>0</v>
      </c>
      <c r="H31" s="8">
        <f t="array" ref="H31">MEDIAN(ABS(H2:H25-H$30))</f>
        <v>0</v>
      </c>
      <c r="I31" s="8">
        <f t="array" ref="I31">MEDIAN(ABS(I2:I25-I$30))</f>
        <v>6</v>
      </c>
      <c r="J31" s="8">
        <f t="array" ref="J31">MEDIAN(ABS(J2:J25-J$30))</f>
        <v>0</v>
      </c>
      <c r="K31" s="8">
        <f t="array" ref="K31">MEDIAN(ABS(K2:K25-K$30))</f>
        <v>0</v>
      </c>
      <c r="L31" s="8">
        <f t="array" ref="L31">MEDIAN(ABS(L2:L25-L$30))</f>
        <v>0</v>
      </c>
      <c r="M31" s="8">
        <f t="array" ref="M31">MEDIAN(ABS(M2:M25-M$30))</f>
        <v>0</v>
      </c>
      <c r="N31" s="8">
        <f t="array" ref="N31">MEDIAN(ABS(N2:N25-N$30))</f>
        <v>1</v>
      </c>
      <c r="O31" s="8">
        <f t="array" ref="O31">MEDIAN(ABS(O2:O25-O$30))</f>
        <v>1</v>
      </c>
      <c r="P31" s="8">
        <f t="array" ref="P31">MEDIAN(ABS(P2:P25-P$30))</f>
        <v>0.5</v>
      </c>
      <c r="Q31" s="8">
        <f t="array" ref="Q31">MEDIAN(ABS(Q2:Q25-Q$30))</f>
        <v>0</v>
      </c>
      <c r="R31" s="8">
        <f t="array" ref="R31">MEDIAN(ABS(R2:R25-R$30))</f>
        <v>0.5</v>
      </c>
      <c r="S31" s="8">
        <f t="array" ref="S31">MEDIAN(ABS(S2:S25-S$30))</f>
        <v>0</v>
      </c>
      <c r="T31" s="8">
        <f t="array" ref="T31">MEDIAN(ABS(T2:T25-T$30))</f>
        <v>1</v>
      </c>
      <c r="U31" s="8">
        <f t="array" ref="U31">MEDIAN(ABS(U2:U25-U$30))</f>
        <v>0</v>
      </c>
      <c r="V31" s="8">
        <f t="array" ref="V31">MEDIAN(ABS(V2:V25-V$30))</f>
        <v>1</v>
      </c>
      <c r="W31" s="8">
        <f t="array" ref="W31">MEDIAN(ABS(W2:W25-W$30))</f>
        <v>0</v>
      </c>
      <c r="X31" s="8">
        <f t="array" ref="X31">MEDIAN(ABS(X2:X25-X$30))</f>
        <v>0</v>
      </c>
      <c r="Y31" s="8">
        <f t="array" ref="Y31">MEDIAN(ABS(Y2:Y25-Y$30))</f>
        <v>10</v>
      </c>
      <c r="Z31" s="8" t="e">
        <f t="array" ref="Z31">MEDIAN(ABS(Z2:Z25-Z$30))</f>
        <v>#NUM!</v>
      </c>
      <c r="AA31" s="8" t="e">
        <f t="array" ref="AA31">MEDIAN(ABS(AA2:AA25-AA$30))</f>
        <v>#NUM!</v>
      </c>
      <c r="AB31" s="8" t="e">
        <f t="array" ref="AB31">MEDIAN(ABS(AB2:AB25-AB$30))</f>
        <v>#NUM!</v>
      </c>
      <c r="AC31" s="8" t="e">
        <f t="array" ref="AC31">MEDIAN(ABS(AC2:AC25-AC$30))</f>
        <v>#NUM!</v>
      </c>
      <c r="AD31" s="8" t="e">
        <f t="array" ref="AD31">MEDIAN(ABS(AD2:AD25-AD$30))</f>
        <v>#NUM!</v>
      </c>
      <c r="AE31" s="8" t="e">
        <f t="array" ref="AE31">MEDIAN(ABS(AE2:AE25-AE$30))</f>
        <v>#NUM!</v>
      </c>
      <c r="AF31" s="8" t="e">
        <f t="array" ref="AF31">MEDIAN(ABS(AF2:AF25-AF$30))</f>
        <v>#NUM!</v>
      </c>
      <c r="AG31" s="8" t="e">
        <f t="array" ref="AG31">MEDIAN(ABS(AG2:AG25-AG$30))</f>
        <v>#NUM!</v>
      </c>
      <c r="AH31" s="8" t="e">
        <f t="array" ref="AH31">MEDIAN(ABS(AH2:AH25-AH$30))</f>
        <v>#NUM!</v>
      </c>
      <c r="AI31" s="8" t="e">
        <f t="array" ref="AI31">MEDIAN(ABS(AI2:AI25-AI$30))</f>
        <v>#NUM!</v>
      </c>
      <c r="AJ31" s="8">
        <f t="array" ref="AJ31">MEDIAN(ABS(AJ2:AJ25-AJ$30))</f>
        <v>19.5</v>
      </c>
      <c r="AK31" s="9">
        <f t="array" ref="AK31">MEDIAN(ABS(AK2:AK25-AK$30))</f>
        <v>8.4415584415584388E-2</v>
      </c>
    </row>
    <row r="32" spans="1:42">
      <c r="B32" s="19"/>
      <c r="D32" s="6"/>
      <c r="F32" s="8"/>
      <c r="G32" s="8"/>
      <c r="H32" s="8"/>
      <c r="I32" s="8"/>
      <c r="K32" s="8"/>
      <c r="L32" s="8"/>
      <c r="M32" s="8"/>
    </row>
    <row r="33" spans="2:13">
      <c r="B33" s="19" t="s">
        <v>23</v>
      </c>
      <c r="D33" s="6"/>
      <c r="F33" s="8"/>
      <c r="G33" s="8"/>
      <c r="H33" s="8"/>
      <c r="I33" s="8"/>
      <c r="K33" s="8"/>
      <c r="L33" s="8"/>
      <c r="M33" s="8"/>
    </row>
    <row r="34" spans="2:13">
      <c r="D34" s="6"/>
    </row>
    <row r="35" spans="2:13">
      <c r="D35" s="6"/>
    </row>
    <row r="36" spans="2:13">
      <c r="D36" s="6"/>
    </row>
    <row r="37" spans="2:13">
      <c r="D37" s="6"/>
    </row>
  </sheetData>
  <sortState ref="A2:AL24">
    <sortCondition ref="A2:A24"/>
    <sortCondition ref="B2:B24"/>
  </sortState>
  <phoneticPr fontId="4" type="noConversion"/>
  <conditionalFormatting sqref="A26:B26 AC1:AL2 AC25:AL25 A25:C25 E25:AA25 AC3:AI12 AJ26:AL26 F26:AA26 AC26:AH26 D21:D25 AJ21:AJ24 AL21:AL24 J21:K24 B3:K20 B21:C21 E21:I21 AJ3:AL20 AK21 M3:R21 L3:L24 T3:V21 S3:S24 Y3:AA12 Y13:AI21 W3:X24 A1:AA2 A3:A24">
    <cfRule type="expression" dxfId="16" priority="20">
      <formula>MOD(ROW(),2)=1</formula>
    </cfRule>
  </conditionalFormatting>
  <conditionalFormatting sqref="AC2:AL2 AC25:AL25 A25:C25 E25:AA25 AC3:AI12 D21:D25 AJ21:AJ24 AL21:AL24 J21:K24 B3:K20 B21:C21 E21:I21 AJ3:AL20 AK21 M3:R21 L3:L24 T3:V21 S3:S24 Y3:AA12 Y13:AI21 W3:X24 A2:AA2 A3:A24">
    <cfRule type="expression" dxfId="15" priority="30">
      <formula>INDIRECT(CONCATENATE("a",ROW())) &lt;&gt; INDIRECT(CONCATENATE("a",ROW()+1))</formula>
    </cfRule>
  </conditionalFormatting>
  <conditionalFormatting sqref="AJ26">
    <cfRule type="expression" dxfId="14" priority="17">
      <formula>INDIRECT(CONCATENATE("a",ROW())) &lt;&gt; INDIRECT(CONCATENATE("a",ROW()+1))</formula>
    </cfRule>
  </conditionalFormatting>
  <conditionalFormatting sqref="AB1:AB12 AB25:AB26">
    <cfRule type="expression" dxfId="13" priority="14">
      <formula>MOD(ROW(),2)=1</formula>
    </cfRule>
  </conditionalFormatting>
  <conditionalFormatting sqref="AB2:AB12 AB25">
    <cfRule type="expression" dxfId="12" priority="15">
      <formula>INDIRECT(CONCATENATE("a",ROW())) &lt;&gt; INDIRECT(CONCATENATE("a",ROW()+1))</formula>
    </cfRule>
  </conditionalFormatting>
  <conditionalFormatting sqref="B22:C24 AC22:AI24 E22:I24 AK22:AK24 M22:R24 T22:V24 Y22:AA24">
    <cfRule type="expression" dxfId="11" priority="5">
      <formula>MOD(ROW(),2)=1</formula>
    </cfRule>
  </conditionalFormatting>
  <conditionalFormatting sqref="B22:C24 AC22:AI24 E22:I24 AK22:AK24 M22:R24 T22:V24 Y22:AA24">
    <cfRule type="expression" dxfId="10" priority="6">
      <formula>INDIRECT(CONCATENATE("a",ROW())) &lt;&gt; INDIRECT(CONCATENATE("a",ROW()+1))</formula>
    </cfRule>
  </conditionalFormatting>
  <conditionalFormatting sqref="AB22:AB24">
    <cfRule type="expression" dxfId="9" priority="2">
      <formula>MOD(ROW(),2)=1</formula>
    </cfRule>
  </conditionalFormatting>
  <conditionalFormatting sqref="AB22:AB24">
    <cfRule type="expression" dxfId="8" priority="3">
      <formula>INDIRECT(CONCATENATE("a",ROW())) &lt;&gt; INDIRECT(CONCATENATE("a",ROW()+1))</formula>
    </cfRule>
  </conditionalFormatting>
  <conditionalFormatting sqref="D2:D24">
    <cfRule type="duplicateValues" dxfId="7" priority="70"/>
  </conditionalFormatting>
  <printOptions horizontalCentered="1" verticalCentered="1" gridLines="1"/>
  <pageMargins left="0.25" right="0.25" top="0.75" bottom="0.75" header="0.3" footer="0.3"/>
  <pageSetup scale="44" fitToWidth="2" orientation="landscape" horizontalDpi="1200" verticalDpi="1200"/>
  <headerFooter>
    <oddHeader>&amp;F</oddHeader>
  </headerFooter>
  <colBreaks count="1" manualBreakCount="1">
    <brk id="38" max="1048575" man="1"/>
  </colBreaks>
  <drawing r:id="rId1"/>
  <extLst>
    <ext xmlns:mx="http://schemas.microsoft.com/office/mac/excel/2008/main" uri="{64002731-A6B0-56B0-2670-7721B7C09600}">
      <mx:PLV Mode="0" OnePage="0" WScale="7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24"/>
  <sheetViews>
    <sheetView workbookViewId="0">
      <selection activeCell="D28" sqref="D28"/>
    </sheetView>
  </sheetViews>
  <sheetFormatPr baseColWidth="10" defaultRowHeight="15" x14ac:dyDescent="0"/>
  <cols>
    <col min="1" max="1" width="25" customWidth="1"/>
    <col min="2" max="2" width="17.33203125" customWidth="1"/>
    <col min="3" max="3" width="28.1640625" bestFit="1" customWidth="1"/>
    <col min="5" max="5" width="14.5" bestFit="1" customWidth="1"/>
  </cols>
  <sheetData>
    <row r="1" spans="1:6">
      <c r="A1" s="15" t="s">
        <v>5</v>
      </c>
      <c r="B1" s="15" t="s">
        <v>4</v>
      </c>
      <c r="C1" s="15" t="s">
        <v>3</v>
      </c>
      <c r="D1" s="15" t="s">
        <v>12</v>
      </c>
    </row>
    <row r="2" spans="1:6">
      <c r="A2" s="21">
        <v>0.1</v>
      </c>
      <c r="B2" s="21">
        <v>0</v>
      </c>
      <c r="C2" s="1" t="s">
        <v>6</v>
      </c>
      <c r="D2" s="1">
        <f>COUNTIF(Grade!$AL$2:$AL$25,C2)</f>
        <v>0</v>
      </c>
    </row>
    <row r="3" spans="1:6">
      <c r="A3" s="1"/>
      <c r="B3" s="21">
        <f>B4-$A$2</f>
        <v>0.59999999990000008</v>
      </c>
      <c r="C3" s="1" t="s">
        <v>11</v>
      </c>
      <c r="D3" s="1">
        <f>COUNTIF(Grade!$AL$2:$AL$25,C3)</f>
        <v>3</v>
      </c>
    </row>
    <row r="4" spans="1:6">
      <c r="A4" s="15" t="s">
        <v>35</v>
      </c>
      <c r="B4" s="21">
        <f>B5-$A$2</f>
        <v>0.69999999990000006</v>
      </c>
      <c r="C4" s="1" t="s">
        <v>10</v>
      </c>
      <c r="D4" s="1">
        <f>COUNTIF(Grade!$AL$2:$AL$25,C4)</f>
        <v>2</v>
      </c>
    </row>
    <row r="5" spans="1:6">
      <c r="A5" s="32">
        <v>1E-10</v>
      </c>
      <c r="B5" s="21">
        <f>B6-$A$2</f>
        <v>0.79999999990000004</v>
      </c>
      <c r="C5" s="1" t="s">
        <v>9</v>
      </c>
      <c r="D5" s="1">
        <f>COUNTIF(Grade!$AL$2:$AL$25,C5)</f>
        <v>9</v>
      </c>
    </row>
    <row r="6" spans="1:6">
      <c r="A6" s="1"/>
      <c r="B6" s="21">
        <f>B7-$A$2</f>
        <v>0.89999999990000001</v>
      </c>
      <c r="C6" s="1" t="s">
        <v>8</v>
      </c>
      <c r="D6" s="1">
        <f>COUNTIF(Grade!$AL$2:$AL$25,C6)</f>
        <v>9</v>
      </c>
    </row>
    <row r="7" spans="1:6">
      <c r="A7" s="1"/>
      <c r="B7" s="21">
        <f>100%-$A$5</f>
        <v>0.99999999989999999</v>
      </c>
      <c r="C7" s="1" t="s">
        <v>8</v>
      </c>
      <c r="D7" s="1"/>
    </row>
    <row r="9" spans="1:6">
      <c r="A9" t="s">
        <v>22</v>
      </c>
    </row>
    <row r="10" spans="1:6">
      <c r="E10" s="25" t="s">
        <v>36</v>
      </c>
      <c r="F10">
        <v>4</v>
      </c>
    </row>
    <row r="11" spans="1:6">
      <c r="A11" s="25" t="s">
        <v>28</v>
      </c>
      <c r="B11" s="25" t="s">
        <v>29</v>
      </c>
      <c r="C11" s="24">
        <f>MIN(Grade!AK2:AK25)</f>
        <v>0.62337662337662336</v>
      </c>
      <c r="D11" s="24">
        <f>MAX(C11,0)</f>
        <v>0.62337662337662336</v>
      </c>
      <c r="E11" s="25" t="s">
        <v>32</v>
      </c>
      <c r="F11">
        <f>COUNT(Grade!AK2:AK25)</f>
        <v>23</v>
      </c>
    </row>
    <row r="12" spans="1:6">
      <c r="B12" s="25" t="s">
        <v>30</v>
      </c>
      <c r="C12" s="24">
        <f>MAX(Grade!AK2:AK25)</f>
        <v>1.0086580086580086</v>
      </c>
      <c r="D12" s="24">
        <f>MAX(C12,100%)</f>
        <v>1.0086580086580086</v>
      </c>
      <c r="E12" s="25" t="s">
        <v>33</v>
      </c>
      <c r="F12">
        <f>INT(F11/$F$10)</f>
        <v>5</v>
      </c>
    </row>
    <row r="13" spans="1:6">
      <c r="A13" s="25" t="s">
        <v>31</v>
      </c>
      <c r="B13" s="25" t="s">
        <v>4</v>
      </c>
      <c r="C13" s="25" t="s">
        <v>34</v>
      </c>
    </row>
    <row r="14" spans="1:6">
      <c r="A14" s="26">
        <f>ROUND((D12-D11)/F12,2)</f>
        <v>0.08</v>
      </c>
      <c r="B14" s="24">
        <f>$D$12-($F$12+2)*$A$14</f>
        <v>0.44865800865800853</v>
      </c>
      <c r="C14" s="27">
        <f t="array" ref="C14:C24">FREQUENCY(Grade!AK2:AK25,GradeScale!B14:B23)</f>
        <v>0</v>
      </c>
    </row>
    <row r="15" spans="1:6">
      <c r="A15" s="26"/>
      <c r="B15" s="24">
        <f>B14+$A$14</f>
        <v>0.52865800865800849</v>
      </c>
      <c r="C15" s="27">
        <v>0</v>
      </c>
    </row>
    <row r="16" spans="1:6">
      <c r="B16" s="24">
        <f t="shared" ref="B16:B23" si="0">B15+$A$14</f>
        <v>0.60865800865800845</v>
      </c>
      <c r="C16" s="27">
        <v>0</v>
      </c>
    </row>
    <row r="17" spans="2:3">
      <c r="B17" s="24">
        <f t="shared" si="0"/>
        <v>0.68865800865800841</v>
      </c>
      <c r="C17" s="27">
        <v>2</v>
      </c>
    </row>
    <row r="18" spans="2:3">
      <c r="B18" s="24">
        <f t="shared" si="0"/>
        <v>0.76865800865800837</v>
      </c>
      <c r="C18" s="27">
        <v>3</v>
      </c>
    </row>
    <row r="19" spans="2:3">
      <c r="B19" s="24">
        <f t="shared" si="0"/>
        <v>0.84865800865800833</v>
      </c>
      <c r="C19" s="27">
        <v>7</v>
      </c>
    </row>
    <row r="20" spans="2:3">
      <c r="B20" s="24">
        <f t="shared" si="0"/>
        <v>0.92865800865800829</v>
      </c>
      <c r="C20" s="27">
        <v>4</v>
      </c>
    </row>
    <row r="21" spans="2:3">
      <c r="B21" s="24">
        <f t="shared" si="0"/>
        <v>1.0086580086580084</v>
      </c>
      <c r="C21" s="27">
        <v>6</v>
      </c>
    </row>
    <row r="22" spans="2:3">
      <c r="B22" s="24">
        <f t="shared" si="0"/>
        <v>1.0886580086580084</v>
      </c>
      <c r="C22" s="27">
        <v>1</v>
      </c>
    </row>
    <row r="23" spans="2:3">
      <c r="B23" s="24">
        <f t="shared" si="0"/>
        <v>1.1686580086580085</v>
      </c>
      <c r="C23" s="27">
        <v>0</v>
      </c>
    </row>
    <row r="24" spans="2:3">
      <c r="C24" s="2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4"/>
  <sheetViews>
    <sheetView workbookViewId="0">
      <selection activeCell="F13" sqref="F13"/>
    </sheetView>
  </sheetViews>
  <sheetFormatPr baseColWidth="10" defaultRowHeight="15" x14ac:dyDescent="0"/>
  <cols>
    <col min="1" max="1" width="44" customWidth="1"/>
    <col min="2" max="2" width="17.5" hidden="1" customWidth="1"/>
    <col min="3" max="3" width="10" bestFit="1" customWidth="1"/>
  </cols>
  <sheetData>
    <row r="1" spans="1:3" ht="23">
      <c r="A1" s="33"/>
      <c r="B1" s="33">
        <v>35233275</v>
      </c>
      <c r="C1" s="34"/>
    </row>
    <row r="2" spans="1:3" ht="23">
      <c r="A2" s="33"/>
      <c r="B2" s="33">
        <v>35931930</v>
      </c>
      <c r="C2" s="34"/>
    </row>
    <row r="3" spans="1:3" ht="23">
      <c r="A3" s="33"/>
      <c r="B3" s="33">
        <v>36233555</v>
      </c>
      <c r="C3" s="34"/>
    </row>
    <row r="4" spans="1:3" ht="23">
      <c r="A4" s="33"/>
      <c r="B4" s="33">
        <v>36281162</v>
      </c>
      <c r="C4" s="34"/>
    </row>
    <row r="5" spans="1:3" ht="23">
      <c r="A5" s="33"/>
      <c r="B5" s="33">
        <v>36071392</v>
      </c>
      <c r="C5" s="34"/>
    </row>
    <row r="6" spans="1:3" ht="23">
      <c r="A6" s="33"/>
      <c r="B6" s="33">
        <v>35856991</v>
      </c>
      <c r="C6" s="34"/>
    </row>
    <row r="7" spans="1:3" ht="23">
      <c r="A7" s="33"/>
      <c r="B7" s="33">
        <v>33277410</v>
      </c>
      <c r="C7" s="34"/>
    </row>
    <row r="8" spans="1:3" ht="23">
      <c r="A8" s="33"/>
      <c r="B8" s="33">
        <v>35954285</v>
      </c>
      <c r="C8" s="34"/>
    </row>
    <row r="9" spans="1:3" ht="23">
      <c r="A9" s="33"/>
      <c r="B9" s="33">
        <v>35999522</v>
      </c>
      <c r="C9" s="34"/>
    </row>
    <row r="10" spans="1:3" ht="23">
      <c r="A10" s="33"/>
      <c r="B10" s="33">
        <v>36260703</v>
      </c>
      <c r="C10" s="34"/>
    </row>
    <row r="11" spans="1:3" ht="23">
      <c r="A11" s="33"/>
      <c r="B11" s="33">
        <v>35528107</v>
      </c>
      <c r="C11" s="34"/>
    </row>
    <row r="12" spans="1:3" ht="23">
      <c r="A12" s="33"/>
      <c r="B12" s="33">
        <v>36253021</v>
      </c>
      <c r="C12" s="34"/>
    </row>
    <row r="13" spans="1:3" ht="23">
      <c r="A13" s="33"/>
      <c r="B13" s="33">
        <v>36115172</v>
      </c>
      <c r="C13" s="34"/>
    </row>
    <row r="14" spans="1:3" ht="23">
      <c r="A14" s="33"/>
      <c r="B14" s="33">
        <v>36263262</v>
      </c>
      <c r="C14" s="34"/>
    </row>
    <row r="15" spans="1:3" ht="23">
      <c r="A15" s="33"/>
      <c r="B15" s="33">
        <v>36116851</v>
      </c>
      <c r="C15" s="34"/>
    </row>
    <row r="16" spans="1:3" ht="23">
      <c r="A16" s="33"/>
      <c r="B16" s="33">
        <v>35582960</v>
      </c>
      <c r="C16" s="34"/>
    </row>
    <row r="17" spans="1:3" ht="23">
      <c r="A17" s="33"/>
      <c r="B17" s="33">
        <v>32127072</v>
      </c>
      <c r="C17" s="34"/>
    </row>
    <row r="18" spans="1:3" ht="23">
      <c r="A18" s="33"/>
      <c r="B18" s="33">
        <v>35395671</v>
      </c>
      <c r="C18" s="34"/>
    </row>
    <row r="19" spans="1:3" ht="23">
      <c r="A19" s="33"/>
      <c r="B19" s="33">
        <v>35527446</v>
      </c>
      <c r="C19" s="34"/>
    </row>
    <row r="20" spans="1:3" ht="23">
      <c r="A20" s="33"/>
      <c r="B20" s="33">
        <v>36084813</v>
      </c>
      <c r="C20" s="34"/>
    </row>
    <row r="21" spans="1:3" ht="23">
      <c r="A21" s="33"/>
      <c r="B21" s="33">
        <v>36088352</v>
      </c>
      <c r="C21" s="34"/>
    </row>
    <row r="22" spans="1:3" ht="23">
      <c r="A22" s="33"/>
      <c r="B22" s="33">
        <v>36066590</v>
      </c>
      <c r="C22" s="34"/>
    </row>
    <row r="23" spans="1:3" ht="23">
      <c r="A23" s="33"/>
      <c r="B23" s="33">
        <v>35955112</v>
      </c>
      <c r="C23" s="34"/>
    </row>
    <row r="24" spans="1:3" ht="23">
      <c r="A24" s="33"/>
      <c r="B24" s="33">
        <v>36272893</v>
      </c>
      <c r="C24" s="34"/>
    </row>
  </sheetData>
  <sortState ref="A2:C24">
    <sortCondition ref="A2:A24"/>
  </sortState>
  <phoneticPr fontId="4" type="noConversion"/>
  <conditionalFormatting sqref="A1:C1 A2:B11 C2:C24">
    <cfRule type="expression" dxfId="6" priority="5">
      <formula>MOD(ROW(),2)=1</formula>
    </cfRule>
  </conditionalFormatting>
  <conditionalFormatting sqref="A1:C1 A2:B11 C2:C24">
    <cfRule type="expression" dxfId="5" priority="6">
      <formula>INDIRECT(CONCATENATE("a",ROW())) &lt;&gt; INDIRECT(CONCATENATE("a",ROW()+1))</formula>
    </cfRule>
  </conditionalFormatting>
  <conditionalFormatting sqref="C1:C24">
    <cfRule type="duplicateValues" dxfId="4" priority="7"/>
  </conditionalFormatting>
  <conditionalFormatting sqref="A12:B21">
    <cfRule type="expression" dxfId="3" priority="3">
      <formula>MOD(ROW(),2)=1</formula>
    </cfRule>
  </conditionalFormatting>
  <conditionalFormatting sqref="A12:B21">
    <cfRule type="expression" dxfId="2" priority="4">
      <formula>INDIRECT(CONCATENATE("a",ROW())) &lt;&gt; INDIRECT(CONCATENATE("a",ROW()+1))</formula>
    </cfRule>
  </conditionalFormatting>
  <conditionalFormatting sqref="A22:B24">
    <cfRule type="expression" dxfId="1" priority="1">
      <formula>MOD(ROW(),2)=1</formula>
    </cfRule>
  </conditionalFormatting>
  <conditionalFormatting sqref="A22:B24">
    <cfRule type="expression" dxfId="0" priority="2">
      <formula>INDIRECT(CONCATENATE("a",ROW())) &lt;&gt; INDIRECT(CONCATENATE("a",ROW()+1))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10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4"/>
  <sheetViews>
    <sheetView workbookViewId="0">
      <selection activeCell="E14" sqref="E14"/>
    </sheetView>
  </sheetViews>
  <sheetFormatPr baseColWidth="10" defaultRowHeight="15" x14ac:dyDescent="0"/>
  <cols>
    <col min="1" max="1" width="26.83203125" bestFit="1" customWidth="1"/>
    <col min="2" max="2" width="9.1640625" bestFit="1" customWidth="1"/>
    <col min="3" max="3" width="6" bestFit="1" customWidth="1"/>
    <col min="4" max="4" width="48.5" customWidth="1"/>
  </cols>
  <sheetData>
    <row r="1" spans="1:4">
      <c r="A1" s="35" t="s">
        <v>1</v>
      </c>
      <c r="B1" s="35" t="s">
        <v>0</v>
      </c>
      <c r="C1" s="35" t="s">
        <v>7</v>
      </c>
      <c r="D1" s="35" t="s">
        <v>42</v>
      </c>
    </row>
    <row r="2" spans="1:4">
      <c r="D2" s="36"/>
    </row>
    <row r="3" spans="1:4">
      <c r="D3" s="36"/>
    </row>
    <row r="4" spans="1:4">
      <c r="D4" s="36"/>
    </row>
    <row r="5" spans="1:4">
      <c r="D5" s="36"/>
    </row>
    <row r="6" spans="1:4">
      <c r="D6" s="36"/>
    </row>
    <row r="7" spans="1:4">
      <c r="D7" s="36"/>
    </row>
    <row r="8" spans="1:4">
      <c r="D8" s="36"/>
    </row>
    <row r="10" spans="1:4">
      <c r="D10" s="36"/>
    </row>
    <row r="11" spans="1:4">
      <c r="D11" s="36"/>
    </row>
    <row r="12" spans="1:4">
      <c r="D12" s="36"/>
    </row>
    <row r="13" spans="1:4">
      <c r="D13" s="36"/>
    </row>
    <row r="14" spans="1:4">
      <c r="D14" s="36"/>
    </row>
    <row r="15" spans="1:4">
      <c r="D15" s="36"/>
    </row>
    <row r="16" spans="1:4">
      <c r="D16" s="36"/>
    </row>
    <row r="17" spans="4:4">
      <c r="D17" s="36"/>
    </row>
    <row r="18" spans="4:4">
      <c r="D18" s="36"/>
    </row>
    <row r="19" spans="4:4">
      <c r="D19" s="36"/>
    </row>
    <row r="20" spans="4:4">
      <c r="D20" s="36"/>
    </row>
    <row r="21" spans="4:4">
      <c r="D21" s="36"/>
    </row>
    <row r="22" spans="4:4">
      <c r="D22" s="36"/>
    </row>
    <row r="23" spans="4:4">
      <c r="D23" s="36"/>
    </row>
    <row r="24" spans="4:4">
      <c r="D24" s="36"/>
    </row>
  </sheetData>
  <sortState ref="A2:C24">
    <sortCondition ref="A2:A24"/>
  </sortState>
  <phoneticPr fontId="4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Grade</vt:lpstr>
      <vt:lpstr>GradeScale</vt:lpstr>
      <vt:lpstr>RdmNumbersCopy</vt:lpstr>
      <vt:lpstr>GlowscriptPublicFolderLinks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 Dix</dc:creator>
  <cp:lastModifiedBy>Owen Dix</cp:lastModifiedBy>
  <cp:lastPrinted>2016-10-04T20:58:32Z</cp:lastPrinted>
  <dcterms:created xsi:type="dcterms:W3CDTF">2014-08-25T21:21:51Z</dcterms:created>
  <dcterms:modified xsi:type="dcterms:W3CDTF">2016-10-10T17:42:13Z</dcterms:modified>
</cp:coreProperties>
</file>